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s" sheetId="1" r:id="rId5"/>
    <sheet state="visible" name="Projects" sheetId="2" r:id="rId6"/>
    <sheet state="visible" name="Ranking_Expert" sheetId="3" r:id="rId7"/>
    <sheet state="visible" name="BN_results" sheetId="4" r:id="rId8"/>
    <sheet state="visible" name="Expert_x_BN" sheetId="5" r:id="rId9"/>
  </sheets>
  <definedNames>
    <definedName name="ListaDev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1">
      <text>
        <t xml:space="preserve">A equipe cobriu 100% de TODOS os MUST?</t>
      </text>
    </comment>
    <comment authorId="0" ref="A2">
      <text>
        <t xml:space="preserve">"DOM  M[Desktop, Web] S[Cloud] C[Mobile]
ECO  M[.NET] S[React] C[MongoDB]
LING M[C#] S[JavaScript, TypeScript] C[Python]"
</t>
      </text>
    </comment>
    <comment authorId="0" ref="D2">
      <text>
        <t xml:space="preserve">Domínio: Web
Ecossistema: React
Linguagens: JavaScript
Match (requisitos do projeto):
DOM: M (1/2)[web] S (0/1)[] C (0/1)[]
ECO: M (0/1)[] S (1/1)[react] C (0/1)[]
LING: M (0/1)[] S (1/2)[javascript] C (0/1)[]
Colaboração (somente com membros desta equipe):
169-27: SEM_COMUM
169-81: SEM_COMUM
169-363: SEM_COMUM</t>
      </text>
    </comment>
    <comment authorId="0" ref="E2">
      <text>
        <t xml:space="preserve">Domínio: Web
Ecossistema: nan
Linguagens: JavaScript
Match (requisitos do projeto):
DOM: M (1/2)[web] S (0/1)[] C (0/1)[]
ECO: M (0/1)[] S (0/1)[] C (0/1)[]
LING: M (0/1)[] S (1/2)[javascript] C (0/1)[]
Colaboração (somente com membros desta equipe):
27-81: SEM_COMUM
27-169: SEM_COMUM
27-363: P103(,osf=0.739,slf=0.847); P123(,osf=0.393,slf=0.825); P144(,osf=0.541,slf=0.688); P145(,osf=0.612,slf=0.871); P148(,osf=0.411,slf=0.639); P149(,osf=0.325,slf=0.603); P150(,osf=0.475,slf=0.317); P171(,osf=0.486,slf=0.531); P177(,osf=0.340,slf=0.621); P179(,osf=0.489,slf=0.711); P239(,osf=0.422,slf=0.462); P240(,osf=0.385,slf=0.409); P258(,osf=0.666,slf=0.352); P72(,osf=0.639,slf=0.456); P80(,osf=0.559,slf=0.624); P82(,osf=0.567,slf=0.737); P85(,osf=0.784,slf=0.538); P99(,osf=0.757,slf=0.452)</t>
      </text>
    </comment>
    <comment authorId="0" ref="F2">
      <text>
        <t xml:space="preserve">Domínio: IoT
Ecossistema: nan
Linguagens: JavaScript
Match (requisitos do projeto):
DOM: M (0/2)[] S (0/1)[] C (0/1)[]
ECO: M (0/1)[] S (0/1)[] C (0/1)[]
LING: M (0/1)[] S (1/2)[javascript] C (0/1)[]
Colaboração (somente com membros desta equipe):
81-27: SEM_COMUM
81-169: SEM_COMUM
81-363: SEM_COMUM</t>
      </text>
    </comment>
    <comment authorId="0" ref="G2">
      <text>
        <t xml:space="preserve">Domínio: Mobile
Ecossistema: iOS/iPadOS
Linguagens: Swift
Match (requisitos do projeto):
DOM: M (0/2)[] S (0/1)[] C (1/1)[mobile]
ECO: M (0/1)[] S (0/1)[] C (0/1)[]
LING: M (0/1)[] S (0/2)[] C (0/1)[]
Colaboração (somente com membros desta equipe):
363-27: P103(,osf=0.739,slf=0.847); P123(,osf=0.393,slf=0.825); P144(,osf=0.541,slf=0.688); P145(,osf=0.612,slf=0.871); P148(,osf=0.411,slf=0.639); P149(,osf=0.325,slf=0.603); P150(,osf=0.475,slf=0.317); P171(,osf=0.486,slf=0.531); P177(,osf=0.340,slf=0.621); P179(,osf=0.489,slf=0.711); P239(,osf=0.422,slf=0.462); P240(,osf=0.385,slf=0.409); P258(,osf=0.666,slf=0.352); P72(,osf=0.639,slf=0.456); P80(,osf=0.559,slf=0.624); P82(,osf=0.567,slf=0.737); P85(,osf=0.784,slf=0.538); P99(,osf=0.757,slf=0.452) | 363-447: P123(,osf=0.393,slf=0.825); P144(,osf=0.541,slf=0.688); P145(,osf=0.612,slf=0.871); P148(,osf=0.411,slf=0.639); P149(,osf=0.325,slf=0.603); P150(,osf=0.475,slf=0.317); P171(,osf=0.486,slf=0.531); P177(,osf=0.340,slf=0.621); P179(,osf=0.489,slf=0.711); P214(,osf=0.335,slf=0.820); P239(,osf=0.422,slf=0.462); P240(,osf=0.385,slf=0.409); P258(,osf=0.666,slf=0.352); P82(,osf=0.567,slf=0.737); P85(,osf=0.784,slf=0.538) | 363-544: P123(,osf=0.393,slf=0.825); P144(,osf=0.541,slf=0.688); P145(,osf=0.612,slf=0.871); P148(,osf=0.411,slf=0.639); P149(,osf=0.325,slf=0.603); P150(,osf=0.475,slf=0.317); P171(,osf=0.486,slf=0.531); P177(,osf=0.340,slf=0.621); P179(,osf=0.489,slf=0.711); P239(,osf=0.422,slf=0.462); P240(,osf=0.385,slf=0.409); P258(,osf=0.666,slf=0.352); P82(,osf=0.567,slf=0.737); P85(,osf=0.784,slf=0.538)
363-81: SEM_COMUM
363-169: SEM_COMUM</t>
      </text>
    </comment>
    <comment authorId="0" ref="D4">
      <text>
        <t xml:space="preserve">Domínio: Mobile
Ecossistema: Android
Linguagens: Kotlin
Match (requisitos do projeto):
DOM: M (0/2)[] S (0/1)[] C (1/1)[mobile]
ECO: M (0/1)[] S (0/1)[] C (0/1)[]
LING: M (0/1)[] S (0/2)[] C (0/1)[]
Colaboração (somente com membros desta equipe):
205-363: SEM_COMUM
205-447: SEM_COMUM
205-526: P139(,osf=0.325,slf=0.436)</t>
      </text>
    </comment>
    <comment authorId="0" ref="E4">
      <text>
        <t xml:space="preserve">Domínio: Web
Ecossistema: React
Linguagens: JavaScript
Match (requisitos do projeto):
DOM: M (1/2)[web] S (0/1)[] C (0/1)[]
ECO: M (0/1)[] S (1/1)[react] C (0/1)[]
LING: M (0/1)[] S (1/2)[javascript] C (0/1)[]
Colaboração (somente com membros desta equipe):
526-205: P139(,osf=0.325,slf=0.436)
526-363: SEM_COMUM
526-447: SEM_COMUM</t>
      </text>
    </comment>
    <comment authorId="0" ref="F4">
      <text>
        <t xml:space="preserve">Domínio: Mobile
Ecossistema: iOS/iPadOS
Linguagens: Swift
Match (requisitos do projeto):
DOM: M (0/2)[] S (0/1)[] C (1/1)[mobile]
ECO: M (0/1)[] S (0/1)[] C (0/1)[]
LING: M (0/1)[] S (0/2)[] C (0/1)[]
Colaboração (somente com membros desta equipe):
363-205: SEM_COMUM
363-447: SEM_COMUM
363-526: SEM_COMUM</t>
      </text>
    </comment>
    <comment authorId="0" ref="G4">
      <text>
        <t xml:space="preserve">Domínio: Mobile
Ecossistema: iOS/iPadOS
Linguagens: Swift
Match (requisitos do projeto):
DOM: M (0/2)[] S (0/1)[] C (1/1)[mobile]
ECO: M (0/1)[] S (0/1)[] C (0/1)[]
LING: M (0/1)[] S (0/2)[] C (0/1)[]
Colaboração (somente com membros desta equipe):
447-205: SEM_COMUM
447-363: P123(,osf=0.393,slf=0.825); P144(,osf=0.541,slf=0.688); P145(,osf=0.612,slf=0.871); P148(,osf=0.411,slf=0.639); P149(,osf=0.325,slf=0.603); P150(,osf=0.475,slf=0.317); P171(,osf=0.486,slf=0.531); P177(,osf=0.340,slf=0.621); P179(,osf=0.489,slf=0.711); P214(,osf=0.335,slf=0.820); P239(,osf=0.422,slf=0.462); P240(,osf=0.385,slf=0.409); P258(,osf=0.666,slf=0.352); P82(,osf=0.567,slf=0.737); P85(,osf=0.784,slf=0.538)
447-526: SEM_COMUM</t>
      </text>
    </comment>
    <comment authorId="0" ref="D5">
      <text>
        <t xml:space="preserve">Domínio: nan
Ecossistema: Android, CouchDB, iOS/iPadOS
Linguagens: JavaScript
Match (requisitos do projeto):
DOM: M (0/2)[] S (0/1)[] C (0/1)[]
ECO: M (0/1)[] S (0/1)[] C (0/1)[]
LING: M (0/1)[] S (1/2)[javascript] C (0/1)[]
Colaboração (somente com membros desta equipe):
33-93: SEM_COMUM
33-270: SEM_COMUM
33-303: SEM_COMUM</t>
      </text>
    </comment>
    <comment authorId="0" ref="E5">
      <text>
        <t xml:space="preserve">Domínio: Desktop
Ecossistema: .NET
Linguagens: C#
Match (requisitos do projeto):
DOM: M (1/2)[desktop] S (0/1)[] C (0/1)[]
ECO: M (1/1)[.net] S (0/1)[] C (0/1)[]
LING: M (1/1)[c#] S (0/2)[] C (0/1)[]
Colaboração (somente com membros desta equipe):
303-33: SEM_COMUM
303-93: SEM_COMUM
303-270: SEM_COMUM</t>
      </text>
    </comment>
    <comment authorId="0" ref="F5">
      <text>
        <t xml:space="preserve">Domínio: Web
Ecossistema: Angular
Linguagens: TypeScript
Match (requisitos do projeto):
DOM: M (1/2)[web] S (0/1)[] C (0/1)[]
ECO: M (0/1)[] S (0/1)[] C (0/1)[]
LING: M (0/1)[] S (1/2)[typescript] C (0/1)[]
Colaboração (somente com membros desta equipe):
270-33: SEM_COMUM
270-93: P82(,osf=0.567,slf=0.737) | 270-411: P82(,osf=0.567,slf=0.737) | 270-438: P82(,osf=0.567,slf=0.737)
270-303: SEM_COMUM</t>
      </text>
    </comment>
    <comment authorId="0" ref="G5">
      <text>
        <t xml:space="preserve">Domínio: Desktop
Ecossistema: .NET
Linguagens: C#
Match (requisitos do projeto):
DOM: M (1/2)[desktop] S (0/1)[] C (0/1)[]
ECO: M (1/1)[.net] S (0/1)[] C (0/1)[]
LING: M (1/1)[c#] S (0/2)[] C (0/1)[]
Colaboração (somente com membros desta equipe):
93-33: SEM_COMUM
93-270: P82(,osf=0.567,slf=0.737) | 93-292: P82(,osf=0.567,slf=0.737) | 93-437: P158(,osf=0.670,slf=0.322); P82(,osf=0.567,slf=0.737); P85(,osf=0.784,slf=0.538)
93-303: SEM_COMUM</t>
      </text>
    </comment>
    <comment authorId="0" ref="D6">
      <text>
        <t xml:space="preserve">Domínio: Web
Ecossistema: Node.js
Linguagens: JavaScript
Match (requisitos do projeto):
DOM: M (1/2)[web] S (0/1)[] C (0/1)[]
ECO: M (0/1)[] S (0/1)[] C (0/1)[]
LING: M (0/1)[] S (1/2)[javascript] C (0/1)[]
Colaboração (somente com membros desta equipe):
316-308: SEM_COMUM
316-389: SEM_COMUM
316-526: SEM_COMUM</t>
      </text>
    </comment>
    <comment authorId="0" ref="E6">
      <text>
        <t xml:space="preserve">Domínio: Mobile
Ecossistema: Android
Linguagens: Kotlin
Match (requisitos do projeto):
DOM: M (0/2)[] S (0/1)[] C (1/1)[mobile]
ECO: M (0/1)[] S (0/1)[] C (0/1)[]
LING: M (0/1)[] S (0/2)[] C (0/1)[]
Colaboração (somente com membros desta equipe):
389-308: SEM_COMUM
389-316: SEM_COMUM
389-526: SEM_COMUM</t>
      </text>
    </comment>
    <comment authorId="0" ref="F6">
      <text>
        <t xml:space="preserve">Domínio: Web
Ecossistema: React
Linguagens: JavaScript
Match (requisitos do projeto):
DOM: M (1/2)[web] S (0/1)[] C (0/1)[]
ECO: M (0/1)[] S (1/1)[react] C (0/1)[]
LING: M (0/1)[] S (1/2)[javascript] C (0/1)[]
Colaboração (somente com membros desta equipe):
526-308: SEM_COMUM
526-316: SEM_COMUM
526-389: SEM_COMUM</t>
      </text>
    </comment>
    <comment authorId="0" ref="G6">
      <text>
        <t xml:space="preserve">Domínio: Web
Ecossistema: React
Linguagens: JavaScript
Match (requisitos do projeto):
DOM: M (1/2)[web] S (0/1)[] C (0/1)[]
ECO: M (0/1)[] S (1/1)[react] C (0/1)[]
LING: M (0/1)[] S (1/2)[javascript] C (0/1)[]
Colaboração (somente com membros desta equipe):
308-316: SEM_COMUM
308-389: SEM_COMUM
308-526: SEM_COMUM</t>
      </text>
    </comment>
    <comment authorId="0" ref="A8">
      <text>
        <t xml:space="preserve">"DOM  M[Mobile] S[Web] C[Cloud]
ECO  M[Android, iOS/iPadOS] S[React] C[.NET]
LING M[Kotlin, Swift] S[JavaScript, TypeScript] C[Java, C#]"
</t>
      </text>
    </comment>
    <comment authorId="0" ref="D8">
      <text>
        <t xml:space="preserve">Domínio: Desktop
Ecossistema: .NET
Linguagens: C#
Match (requisitos do projeto):
DOM: M (0/1)[] S (0/1)[] C (0/1)[]
ECO: M (0/2)[] S (0/1)[] C (1/1)[.net]
LING: M (0/2)[] S (0/2)[] C (1/2)[c#]
Colaboração (somente com membros desta equipe):
466-93: SEM_COMUM
466-292: SEM_COMUM
466-437: SEM_COMUM</t>
      </text>
    </comment>
    <comment authorId="0" ref="E8">
      <text>
        <t xml:space="preserve">Domínio: Desktop
Ecossistema: .NET
Linguagens: C#
Match (requisitos do projeto):
DOM: M (0/1)[] S (0/1)[] C (0/1)[]
ECO: M (0/2)[] S (0/1)[] C (1/1)[.net]
LING: M (0/2)[] S (0/2)[] C (1/2)[c#]
Colaboração (somente com membros desta equipe):
93-292: SEM_COMUM
93-437: SEM_COMUM
93-466: SEM_COMUM</t>
      </text>
    </comment>
    <comment authorId="0" ref="F8">
      <text>
        <t xml:space="preserve">Domínio: Mobile
Ecossistema: iOS/iPadOS
Linguagens: Swift
Match (requisitos do projeto):
DOM: M (1/1)[mobile] S (0/1)[] C (0/1)[]
ECO: M (1/2)[ios/ipados] S (0/1)[] C (0/1)[]
LING: M (1/2)[swift] S (0/2)[] C (0/2)[]
Colaboração (somente com membros desta equipe):
437-93: P158(,osf=0.670,slf=0.322); P82(,osf=0.567,slf=0.737); P85(,osf=0.784,slf=0.538) | 437-292: P82(,osf=0.567,slf=0.737)
437-292: SEM_COMUM
437-466: SEM_COMUM</t>
      </text>
    </comment>
    <comment authorId="0" ref="G8">
      <text>
        <t xml:space="preserve">Domínio: Web
Ecossistema: Node.js
Linguagens: JavaScript
Match (requisitos do projeto):
DOM: M (0/1)[] S (1/1)[web] C (0/1)[]
ECO: M (0/2)[] S (0/1)[] C (0/1)[]
LING: M (0/2)[] S (1/2)[javascript] C (0/2)[]
Colaboração (somente com membros desta equipe):
292-93: P82(,osf=0.567,slf=0.737) | 292-437: P82(,osf=0.567,slf=0.737)
292-437: SEM_COMUM
292-466: SEM_COMUM</t>
      </text>
    </comment>
    <comment authorId="0" ref="D9">
      <text>
        <t xml:space="preserve">Domínio: Web
Ecossistema: Angular
Linguagens: TypeScript
Match (requisitos do projeto):
DOM: M (0/1)[] S (1/1)[web] C (0/1)[]
ECO: M (0/2)[] S (0/1)[] C (0/1)[]
LING: M (0/2)[] S (1/2)[typescript] C (0/2)[]
Colaboração (somente com membros desta equipe):
270-411: SEM_COMUM
270-479: SEM_COMUM
270-503: SEM_COMUM</t>
      </text>
    </comment>
    <comment authorId="0" ref="E9">
      <text>
        <t xml:space="preserve">Domínio: Web
Ecossistema: Spring Boot
Linguagens: Java
Match (requisitos do projeto):
DOM: M (0/1)[] S (1/1)[web] C (0/1)[]
ECO: M (0/2)[] S (0/1)[] C (0/1)[]
LING: M (0/2)[] S (0/2)[] C (1/2)[java]
Colaboração (somente com membros desta equipe):
411-270: P82(,osf=0.567,slf=0.737) | 411-479: P179(,osf=0.489,slf=0.711) | 411-503: P145(,osf=0.612,slf=0.871); P177(,osf=0.340,slf=0.621); P284(,osf=0.383,slf=0.553)
411-479: SEM_COMUM
411-503: SEM_COMUM</t>
      </text>
    </comment>
    <comment authorId="0" ref="F9">
      <text>
        <t xml:space="preserve">Domínio: Web
Ecossistema: Angular
Linguagens: TypeScript
Match (requisitos do projeto):
DOM: M (0/1)[] S (1/1)[web] C (0/1)[]
ECO: M (0/2)[] S (0/1)[] C (0/1)[]
LING: M (0/2)[] S (1/2)[typescript] C (0/2)[]
Colaboração (somente com membros desta equipe):
479-270: SEM_COMUM
479-411: P179(,osf=0.489,slf=0.711)
479-503: SEM_COMUM</t>
      </text>
    </comment>
    <comment authorId="0" ref="G9">
      <text>
        <t xml:space="preserve">Domínio: Web
Ecossistema: React
Linguagens: JavaScript
Match (requisitos do projeto):
DOM: M (0/1)[] S (1/1)[web] C (0/1)[]
ECO: M (0/2)[] S (1/1)[react] C (0/1)[]
LING: M (0/2)[] S (1/2)[javascript] C (0/2)[]
Colaboração (somente com membros desta equipe):
503-270: SEM_COMUM
503-411: SEM_COMUM
503-479: SEM_COMUM</t>
      </text>
    </comment>
    <comment authorId="0" ref="D10">
      <text>
        <t xml:space="preserve">Domínio: Web
Ecossistema: Node.js
Linguagens: JavaScript
Match (requisitos do projeto):
DOM: M (0/1)[] S (1/1)[web] C (0/1)[]
ECO: M (0/2)[] S (0/1)[] C (0/1)[]
LING: M (0/2)[] S (1/2)[javascript] C (0/2)[]
Colaboração (somente com membros desta equipe):
115-119: SEM_COMUM
115-193: SEM_COMUM
115-399: SEM_COMUM</t>
      </text>
    </comment>
    <comment authorId="0" ref="E10">
      <text>
        <t xml:space="preserve">Domínio: Mobile
Ecossistema: iOS/iPadOS
Linguagens: Swift
Match (requisitos do projeto):
DOM: M (1/1)[mobile] S (0/1)[] C (0/1)[]
ECO: M (1/2)[ios/ipados] S (0/1)[] C (0/1)[]
LING: M (1/2)[swift] S (0/2)[] C (0/2)[]
Colaboração (somente com membros desta equipe):
119-115: SEM_COMUM
119-193: P82(,osf=0.567,slf=0.737) | 119-399: P82(,osf=0.567,slf=0.737)
119-399: SEM_COMUM</t>
      </text>
    </comment>
    <comment authorId="0" ref="F10">
      <text>
        <t xml:space="preserve">Domínio: Desktop
Ecossistema: .NET
Linguagens: C#
Match (requisitos do projeto):
DOM: M (0/1)[] S (0/1)[] C (0/1)[]
ECO: M (0/2)[] S (0/1)[] C (1/1)[.net]
LING: M (0/2)[] S (0/2)[] C (1/2)[c#]
Colaboração (somente com membros desta equipe):
399-115: SEM_COMUM
399-119: P82(,osf=0.567,slf=0.737) | 399-193: P82(,osf=0.567,slf=0.737); P85(,osf=0.784,slf=0.538)
399-193: SEM_COMUM</t>
      </text>
    </comment>
    <comment authorId="0" ref="G10">
      <text>
        <t xml:space="preserve">Domínio: Web
Ecossistema: Spring Boot
Linguagens: Java
Match (requisitos do projeto):
DOM: M (0/1)[] S (1/1)[web] C (0/1)[]
ECO: M (0/2)[] S (0/1)[] C (0/1)[]
LING: M (0/2)[] S (0/2)[] C (1/2)[java]
Colaboração (somente com membros desta equipe):
193-115: SEM_COMUM
193-119: SEM_COMUM
193-399: SEM_COMUM</t>
      </text>
    </comment>
    <comment authorId="0" ref="D11">
      <text>
        <t xml:space="preserve">Domínio: Cloud
Ecossistema: AWS Lambda
Linguagens: Python
Match (requisitos do projeto):
DOM: M (0/1)[] S (0/1)[] C (1/1)[cloud]
ECO: M (0/2)[] S (0/1)[] C (0/1)[]
LING: M (0/2)[] S (0/2)[] C (0/2)[]
Colaboração (somente com membros desta equipe):
468-5: P82(,osf=0.567,slf=0.737) | 468-508: P196(,osf=0.888,slf=0.339) | 468-516: P82(,osf=0.567,slf=0.737); P85(,osf=0.784,slf=0.538)
468-263: SEM_COMUM
468-503: SEM_COMUM</t>
      </text>
    </comment>
    <comment authorId="0" ref="E11">
      <text>
        <t xml:space="preserve">Domínio: Web
Ecossistema: Vue
Linguagens: JavaScript
Match (requisitos do projeto):
DOM: M (0/1)[] S (1/1)[web] C (0/1)[]
ECO: M (0/2)[] S (0/1)[] C (0/1)[]
LING: M (0/2)[] S (1/2)[javascript] C (0/2)[]
Colaboração (somente com membros desta equipe):
263-5: P179(,osf=0.489,slf=0.711) | 263-145: P179(,osf=0.489,slf=0.711); P201(,osf=0.535,slf=0.596)
263-468: SEM_COMUM
263-503: SEM_COMUM</t>
      </text>
    </comment>
    <comment authorId="0" ref="F11">
      <text>
        <t xml:space="preserve">Domínio: Web
Ecossistema: React
Linguagens: JavaScript
Match (requisitos do projeto):
DOM: M (0/1)[] S (1/1)[web] C (0/1)[]
ECO: M (0/2)[] S (1/1)[react] C (0/1)[]
LING: M (0/2)[] S (1/2)[javascript] C (0/2)[]
Colaboração (somente com membros desta equipe):
503-5: P145(,osf=0.612,slf=0.871); P177(,osf=0.340,slf=0.621); P213(,osf=0.312,slf=0.608); P216(,osf=0.401,slf=0.341); P279(,osf=0.594,slf=0.422) | 503-411: P145(,osf=0.612,slf=0.871); P177(,osf=0.340,slf=0.621); P284(,osf=0.383,slf=0.553)
503-263: SEM_COMUM
503-468: SEM_COMUM</t>
      </text>
    </comment>
    <comment authorId="0" ref="G11">
      <text>
        <t xml:space="preserve">Domínio: Mobile
Ecossistema: Android
Linguagens: Kotlin
Match (requisitos do projeto):
DOM: M (1/1)[mobile] S (0/1)[] C (0/1)[]
ECO: M (1/2)[android] S (0/1)[] C (0/1)[]
LING: M (1/2)[kotlin] S (0/2)[] C (0/2)[]
Colaboração (somente com membros desta equipe):
5-263: P179(,osf=0.489,slf=0.711) | 5-468: P82(,osf=0.567,slf=0.737) | 5-503: P145(,osf=0.612,slf=0.871); P177(,osf=0.340,slf=0.621); P213(,osf=0.312,slf=0.608); P216(,osf=0.401,slf=0.341); P279(,osf=0.594,slf=0.422)
5-468: SEM_COMUM
5-503: SEM_COMUM</t>
      </text>
    </comment>
    <comment authorId="0" ref="D12">
      <text>
        <t xml:space="preserve">Domínio: Mobile
Ecossistema: Android
Linguagens: Kotlin
Match (requisitos do projeto):
DOM: M (1/1)[mobile] S (0/1)[] C (0/1)[]
ECO: M (1/2)[android] S (0/1)[] C (0/1)[]
LING: M (1/2)[kotlin] S (0/2)[] C (0/2)[]
Colaboração (somente com membros desta equipe):
104-81: P69(,osf=0.478,slf=0.301)
104-363: SEM_COMUM
104-544: SEM_COMUM</t>
      </text>
    </comment>
    <comment authorId="0" ref="E12">
      <text>
        <t xml:space="preserve">Domínio: Mobile
Ecossistema: iOS/iPadOS
Linguagens: Swift
Match (requisitos do projeto):
DOM: M (1/1)[mobile] S (0/1)[] C (0/1)[]
ECO: M (1/2)[ios/ipados] S (0/1)[] C (0/1)[]
LING: M (1/2)[swift] S (0/2)[] C (0/2)[]
Colaboração (somente com membros desta equipe):
363-81: SEM_COMUM
363-104: SEM_COMUM
363-544: SEM_COMUM</t>
      </text>
    </comment>
    <comment authorId="0" ref="F12">
      <text>
        <t xml:space="preserve">Domínio: Mobile
Ecossistema: iOS/iPadOS
Linguagens: Swift
Match (requisitos do projeto):
DOM: M (1/1)[mobile] S (0/1)[] C (0/1)[]
ECO: M (1/2)[ios/ipados] S (0/1)[] C (0/1)[]
LING: M (1/2)[swift] S (0/2)[] C (0/2)[]
Colaboração (somente com membros desta equipe):
544-81: SEM_COMUM
544-104: SEM_COMUM
544-363: SEM_COMUM</t>
      </text>
    </comment>
    <comment authorId="0" ref="G12">
      <text>
        <t xml:space="preserve">Domínio: IoT
Ecossistema: nan
Linguagens: JavaScript
Match (requisitos do projeto):
DOM: M (0/1)[] S (0/1)[] C (0/1)[]
ECO: M (0/2)[] S (0/1)[] C (0/1)[]
LING: M (0/2)[] S (1/2)[javascript] C (0/2)[]
Colaboração (somente com membros desta equipe):
81-104: P69(,osf=0.478,slf=0.301)
81-363: SEM_COMUM
81-544: SEM_COMUM</t>
      </text>
    </comment>
    <comment authorId="0" ref="A14">
      <text>
        <t xml:space="preserve">"DOM  M[IoT, Cloud] S[Web] C[Desktop]
ECO  M[AWS Lambda] S[React, Angular, MongoDB] C[Android]
LING M[Python, C++] S[JavaScript] C[Java, TypeScript]"
</t>
      </text>
    </comment>
    <comment authorId="0" ref="D14">
      <text>
        <t xml:space="preserve">Domínio: Web
Ecossistema: React
Linguagens: JavaScript
Match (requisitos do projeto):
DOM: M (0/2)[] S (1/1)[web] C (0/1)[]
ECO: M (0/1)[] S (1/3)[react] C (0/1)[]
LING: M (0/2)[] S (1/1)[javascript] C (0/2)[]
Colaboração (somente com membros desta equipe):
423-391: SEM_COMUM
423-494: SEM_COMUM
423-558: P85(,osf=0.784,slf=0.538)</t>
      </text>
    </comment>
    <comment authorId="0" ref="E14">
      <text>
        <t xml:space="preserve">Domínio: Mobile
Ecossistema: Android
Linguagens: Kotlin
Match (requisitos do projeto):
DOM: M (0/2)[] S (0/1)[] C (0/1)[]
ECO: M (0/1)[] S (0/3)[] C (1/1)[android]
LING: M (0/2)[] S (0/1)[] C (0/2)[]
Colaboração (somente com membros desta equipe):
558-391: SEM_COMUM
558-423: SEM_COMUM
558-494: SEM_COMUM</t>
      </text>
    </comment>
    <comment authorId="0" ref="F14">
      <text>
        <t xml:space="preserve">Domínio: Cloud
Ecossistema: AWS Lambda
Linguagens: Python
Match (requisitos do projeto):
DOM: M (1/2)[cloud] S (0/1)[] C (0/1)[]
ECO: M (1/1)[aws lambda] S (0/3)[] C (0/1)[]
LING: M (1/2)[python] S (0/1)[] C (0/2)[]
Colaboração (somente com membros desta equipe):
494-391: SEM_COMUM
494-423: SEM_COMUM
494-558: SEM_COMUM</t>
      </text>
    </comment>
    <comment authorId="0" ref="G14">
      <text>
        <t xml:space="preserve">Domínio: Cloud
Ecossistema: AWS Lambda
Linguagens: Python
Match (requisitos do projeto):
DOM: M (1/2)[cloud] S (0/1)[] C (0/1)[]
ECO: M (1/1)[aws lambda] S (0/3)[] C (0/1)[]
LING: M (1/2)[python] S (0/1)[] C (0/2)[]
Colaboração (somente com membros desta equipe):
391-423: SEM_COMUM
391-494: SEM_COMUM
391-558: SEM_COMUM</t>
      </text>
    </comment>
    <comment authorId="0" ref="D15">
      <text>
        <t xml:space="preserve">Domínio: Mobile
Ecossistema: Android
Linguagens: Kotlin
Match (requisitos do projeto):
DOM: M (0/2)[] S (0/1)[] C (0/1)[]
ECO: M (0/1)[] S (0/3)[] C (1/1)[android]
LING: M (0/2)[] S (0/1)[] C (0/2)[]
Colaboração (somente com membros desta equipe):
104-152: SEM_COMUM
104-446: SEM_COMUM
104-465: SEM_COMUM</t>
      </text>
    </comment>
    <comment authorId="0" ref="E15">
      <text>
        <t xml:space="preserve">Domínio: Mobile
Ecossistema: Android
Linguagens: Kotlin
Match (requisitos do projeto):
DOM: M (0/2)[] S (0/1)[] C (0/1)[]
ECO: M (0/1)[] S (0/3)[] C (1/1)[android]
LING: M (0/2)[] S (0/1)[] C (0/2)[]
Colaboração (somente com membros desta equipe):
446-104: SEM_COMUM
446-152: SEM_COMUM
446-465: SEM_COMUM</t>
      </text>
    </comment>
    <comment authorId="0" ref="F15">
      <text>
        <t xml:space="preserve">Domínio: Web
Ecossistema: React
Linguagens: JavaScript
Match (requisitos do projeto):
DOM: M (0/2)[] S (1/1)[web] C (0/1)[]
ECO: M (0/1)[] S (1/3)[react] C (0/1)[]
LING: M (0/2)[] S (1/1)[javascript] C (0/2)[]
Colaboração (somente com membros desta equipe):
152-104: SEM_COMUM
152-446: SEM_COMUM
152-465: SEM_COMUM</t>
      </text>
    </comment>
    <comment authorId="0" ref="G15">
      <text>
        <t xml:space="preserve">Domínio: Web
Ecossistema: Spring Boot
Linguagens: Java
Match (requisitos do projeto):
DOM: M (0/2)[] S (1/1)[web] C (0/1)[]
ECO: M (0/1)[] S (0/3)[] C (0/1)[]
LING: M (0/2)[] S (0/1)[] C (1/2)[java]
Colaboração (somente com membros desta equipe):
465-104: SEM_COMUM
465-152: SEM_COMUM
465-446: SEM_COMUM</t>
      </text>
    </comment>
    <comment authorId="0" ref="D16">
      <text>
        <t xml:space="preserve">Domínio: Web
Ecossistema: React
Linguagens: JavaScript
Match (requisitos do projeto):
DOM: M (0/2)[] S (1/1)[web] C (0/1)[]
ECO: M (0/1)[] S (1/3)[react] C (0/1)[]
LING: M (0/2)[] S (1/1)[javascript] C (0/2)[]
Colaboração (somente com membros desta equipe):
362-161: SEM_COMUM
362-242: SEM_COMUM
362-450: SEM_COMUM</t>
      </text>
    </comment>
    <comment authorId="0" ref="E16">
      <text>
        <t xml:space="preserve">Domínio: Web
Ecossistema: Node.js
Linguagens: JavaScript
Match (requisitos do projeto):
DOM: M (0/2)[] S (1/1)[web] C (0/1)[]
ECO: M (0/1)[] S (0/3)[] C (0/1)[]
LING: M (0/2)[] S (1/1)[javascript] C (0/2)[]
Colaboração (somente com membros desta equipe):
242-161: SEM_COMUM
242-362: SEM_COMUM
242-450: SEM_COMUM</t>
      </text>
    </comment>
    <comment authorId="0" ref="F16">
      <text>
        <t xml:space="preserve">Domínio: Desktop
Ecossistema: .NET
Linguagens: C#
Match (requisitos do projeto):
DOM: M (0/2)[] S (0/1)[] C (1/1)[desktop]
ECO: M (0/1)[] S (0/3)[] C (0/1)[]
LING: M (0/2)[] S (0/1)[] C (0/2)[]
Colaboração (somente com membros desta equipe):
450-161: SEM_COMUM
450-242: SEM_COMUM
450-362: SEM_COMUM</t>
      </text>
    </comment>
    <comment authorId="0" ref="G16">
      <text>
        <t xml:space="preserve">Domínio: nan
Ecossistema: nan
Linguagens: JavaScript
Match (requisitos do projeto):
DOM: M (0/2)[] S (0/1)[] C (0/1)[]
ECO: M (0/1)[] S (0/3)[] C (0/1)[]
LING: M (0/2)[] S (1/1)[javascript] C (0/2)[]
Colaboração (somente com membros desta equipe):
161-242: SEM_COMUM
161-362: SEM_COMUM
161-450: SEM_COMUM</t>
      </text>
    </comment>
    <comment authorId="0" ref="D17">
      <text>
        <t xml:space="preserve">Domínio: Web
Ecossistema: React
Linguagens: JavaScript
Match (requisitos do projeto):
DOM: M (0/2)[] S (1/1)[web] C (0/1)[]
ECO: M (0/1)[] S (1/3)[react] C (0/1)[]
LING: M (0/2)[] S (1/1)[javascript] C (0/2)[]
Colaboração (somente com membros desta equipe):
362-354: SEM_COMUM
362-458: SEM_COMUM
362-495: SEM_COMUM</t>
      </text>
    </comment>
    <comment authorId="0" ref="E17">
      <text>
        <t xml:space="preserve">Domínio: Web
Ecossistema: Node.js
Linguagens: JavaScript
Match (requisitos do projeto):
DOM: M (0/2)[] S (1/1)[web] C (0/1)[]
ECO: M (0/1)[] S (0/3)[] C (0/1)[]
LING: M (0/2)[] S (1/1)[javascript] C (0/2)[]
Colaboração (somente com membros desta equipe):
354-362: SEM_COMUM
354-458: SEM_COMUM
354-495: SEM_COMUM</t>
      </text>
    </comment>
    <comment authorId="0" ref="F17">
      <text>
        <t xml:space="preserve">Domínio: Web
Ecossistema: Spring Boot
Linguagens: Java
Match (requisitos do projeto):
DOM: M (0/2)[] S (1/1)[web] C (0/1)[]
ECO: M (0/1)[] S (0/3)[] C (0/1)[]
LING: M (0/2)[] S (0/1)[] C (1/2)[java]
Colaboração (somente com membros desta equipe):
495-354: SEM_COMUM
495-362: SEM_COMUM
495-458: SEM_COMUM</t>
      </text>
    </comment>
    <comment authorId="0" ref="G17">
      <text>
        <t xml:space="preserve">Domínio: Mobile
Ecossistema: iOS/iPadOS
Linguagens: Swift
Match (requisitos do projeto):
DOM: M (0/2)[] S (0/1)[] C (0/1)[]
ECO: M (0/1)[] S (0/3)[] C (0/1)[]
LING: M (0/2)[] S (0/1)[] C (0/2)[]
Colaboração (somente com membros desta equipe):
458-354: SEM_COMUM
458-362: SEM_COMUM
458-495: SEM_COMUM</t>
      </text>
    </comment>
    <comment authorId="0" ref="D18">
      <text>
        <t xml:space="preserve">Domínio: Web
Ecossistema: React
Linguagens: JavaScript
Match (requisitos do projeto):
DOM: M (0/2)[] S (1/1)[web] C (0/1)[]
ECO: M (0/1)[] S (1/3)[react] C (0/1)[]
LING: M (0/2)[] S (1/1)[javascript] C (0/2)[]
Colaboração (somente com membros desta equipe):
439-16: SEM_COMUM
439-209: SEM_COMUM
439-463: SEM_COMUM</t>
      </text>
    </comment>
    <comment authorId="0" ref="E18">
      <text>
        <t xml:space="preserve">Domínio: nan
Ecossistema: iOS/iPadOS
Linguagens: nan
Match (requisitos do projeto):
DOM: M (0/2)[] S (0/1)[] C (0/1)[]
ECO: M (0/1)[] S (0/3)[] C (0/1)[]
LING: M (0/2)[] S (0/1)[] C (0/2)[]
Colaboração (somente com membros desta equipe):
16-209: SEM_COMUM
16-439: SEM_COMUM
16-463: SEM_COMUM</t>
      </text>
    </comment>
    <comment authorId="0" ref="F18">
      <text>
        <t xml:space="preserve">Domínio: Web
Ecossistema: Node.js
Linguagens: JavaScript
Match (requisitos do projeto):
DOM: M (0/2)[] S (1/1)[web] C (0/1)[]
ECO: M (0/1)[] S (0/3)[] C (0/1)[]
LING: M (0/2)[] S (1/1)[javascript] C (0/2)[]
Colaboração (somente com membros desta equipe):
209-16: SEM_COMUM
209-439: SEM_COMUM
209-463: SEM_COMUM</t>
      </text>
    </comment>
    <comment authorId="0" ref="G18">
      <text>
        <t xml:space="preserve">Domínio: Web
Ecossistema: Vue
Linguagens: JavaScript
Match (requisitos do projeto):
DOM: M (0/2)[] S (1/1)[web] C (0/1)[]
ECO: M (0/1)[] S (0/3)[] C (0/1)[]
LING: M (0/2)[] S (1/1)[javascript] C (0/2)[]
Colaboração (somente com membros desta equipe):
463-16: SEM_COMUM
463-209: SEM_COMUM
463-439: SEM_COMUM</t>
      </text>
    </comment>
    <comment authorId="0" ref="A20">
      <text>
        <t xml:space="preserve">"DOM  M[Web] S[Cloud] C[Desktop]
ECO  M[MongoDB] S[Angular, React] C[AWS Lambda]
LING M[JavaScript] S[TypeScript, Python] C[Java, C#]"
</t>
      </text>
    </comment>
    <comment authorId="0" ref="D20">
      <text>
        <t xml:space="preserve">Domínio: Web
Ecossistema: Vue
Linguagens: JavaScript
Match (requisitos do projeto):
DOM: M (1/1)[web] S (0/1)[] C (0/1)[]
ECO: M (0/1)[] S (0/2)[] C (0/1)[]
LING: M (1/1)[javascript] S (0/2)[] C (0/2)[]
Colaboração (somente com membros desta equipe):
263-241: SEM_COMUM
263-303: SEM_COMUM
263-548: SEM_COMUM</t>
      </text>
    </comment>
    <comment authorId="0" ref="E20">
      <text>
        <t xml:space="preserve">Domínio: Web
Ecossistema: Node.js
Linguagens: JavaScript
Match (requisitos do projeto):
DOM: M (1/1)[web] S (0/1)[] C (0/1)[]
ECO: M (0/1)[] S (0/2)[] C (0/1)[]
LING: M (1/1)[javascript] S (0/2)[] C (0/2)[]
Colaboração (somente com membros desta equipe):
241-263: SEM_COMUM
241-303: SEM_COMUM
241-548: SEM_COMUM</t>
      </text>
    </comment>
    <comment authorId="0" ref="F20">
      <text>
        <t xml:space="preserve">Domínio: Desktop
Ecossistema: .NET
Linguagens: C#
Match (requisitos do projeto):
DOM: M (0/1)[] S (0/1)[] C (1/1)[desktop]
ECO: M (0/1)[] S (0/2)[] C (0/1)[]
LING: M (0/1)[] S (0/2)[] C (1/2)[c#]
Colaboração (somente com membros desta equipe):
303-241: SEM_COMUM
303-263: SEM_COMUM
303-548: SEM_COMUM</t>
      </text>
    </comment>
    <comment authorId="0" ref="G20">
      <text>
        <t xml:space="preserve">Domínio: Mobile
Ecossistema: iOS/iPadOS
Linguagens: Swift
Match (requisitos do projeto):
DOM: M (0/1)[] S (0/1)[] C (0/1)[]
ECO: M (0/1)[] S (0/2)[] C (0/1)[]
LING: M (0/1)[] S (0/2)[] C (0/2)[]
Colaboração (somente com membros desta equipe):
548-241: SEM_COMUM
548-263: SEM_COMUM
548-303: SEM_COMUM</t>
      </text>
    </comment>
    <comment authorId="0" ref="D21">
      <text>
        <t xml:space="preserve">Domínio: IoT, Web
Ecossistema: iOS/iPadOS
Linguagens: JSON, JavaScript
Match (requisitos do projeto):
DOM: M (1/1)[web] S (0/1)[] C (0/1)[]
ECO: M (0/1)[] S (0/2)[] C (0/1)[]
LING: M (1/1)[javascript] S (0/2)[] C (0/2)[]
Colaboração (somente com membros desta equipe):
145-38: SEM_COMUM
145-225: SEM_COMUM
145-263: P179(,osf=0.489,slf=0.711); P201(,osf=0.535,slf=0.596)</t>
      </text>
    </comment>
    <comment authorId="0" ref="E21">
      <text>
        <t xml:space="preserve">Domínio: Web
Ecossistema: iOS/iPadOS
Linguagens: nan
Match (requisitos do projeto):
DOM: M (1/1)[web] S (0/1)[] C (0/1)[]
ECO: M (0/1)[] S (0/2)[] C (0/1)[]
LING: M (0/1)[] S (0/2)[] C (0/2)[]
Colaboração (somente com membros desta equipe):
38-145: SEM_COMUM
38-225: P82(,osf=0.567,slf=0.737)
38-263: SEM_COMUM</t>
      </text>
    </comment>
    <comment authorId="0" ref="F21">
      <text>
        <t xml:space="preserve">Domínio: Web
Ecossistema: React
Linguagens: JavaScript
Match (requisitos do projeto):
DOM: M (1/1)[web] S (0/1)[] C (0/1)[]
ECO: M (0/1)[] S (1/2)[react] C (0/1)[]
LING: M (1/1)[javascript] S (0/2)[] C (0/2)[]
Colaboração (somente com membros desta equipe):
225-38: P82(,osf=0.567,slf=0.737)
225-145: SEM_COMUM
225-263: SEM_COMUM</t>
      </text>
    </comment>
    <comment authorId="0" ref="G21">
      <text>
        <t xml:space="preserve">Domínio: Web
Ecossistema: Vue
Linguagens: JavaScript
Match (requisitos do projeto):
DOM: M (1/1)[web] S (0/1)[] C (0/1)[]
ECO: M (0/1)[] S (0/2)[] C (0/1)[]
LING: M (1/1)[javascript] S (0/2)[] C (0/2)[]
Colaboração (somente com membros desta equipe):
263-38: SEM_COMUM
263-145: SEM_COMUM
263-225: SEM_COMUM</t>
      </text>
    </comment>
    <comment authorId="0" ref="D22">
      <text>
        <t xml:space="preserve">Domínio: Web
Ecossistema: Spring Boot
Linguagens: Java
Match (requisitos do projeto):
DOM: M (1/1)[web] S (0/1)[] C (0/1)[]
ECO: M (0/1)[] S (0/2)[] C (0/1)[]
LING: M (0/1)[] S (0/2)[] C (1/2)[java]
Colaboração (somente com membros desta equipe):
193-7: P82(,osf=0.567,slf=0.737); P85(,osf=0.784,slf=0.538) | 193-119: P82(,osf=0.567,slf=0.737) | 193-194: P82(,osf=0.567,slf=0.737); P85(,osf=0.784,slf=0.538) | 193-399: P82(,osf=0.567,slf=0.737); P85(,osf=0.784,slf=0.538)
193-154: SEM_COMUM
193-194: SEM_COMUM</t>
      </text>
    </comment>
    <comment authorId="0" ref="E22">
      <text>
        <t xml:space="preserve">Domínio: Mobile
Ecossistema: Android
Linguagens: Kotlin
Match (requisitos do projeto):
DOM: M (0/1)[] S (0/1)[] C (0/1)[]
ECO: M (0/1)[] S (0/2)[] C (0/1)[]
LING: M (0/1)[] S (0/2)[] C (0/2)[]
Colaboração (somente com membros desta equipe):
194-7: P40(,osf=0.733,slf=0.373); P82(,osf=0.567,slf=0.737); P85(,osf=0.784,slf=0.538) | 194-193: P82(,osf=0.567,slf=0.737); P85(,osf=0.784,slf=0.538)
194-154: SEM_COMUM
194-193: SEM_COMUM</t>
      </text>
    </comment>
    <comment authorId="0" ref="F22">
      <text>
        <t xml:space="preserve">Domínio: Web
Ecossistema: React
Linguagens: JavaScript
Match (requisitos do projeto):
DOM: M (1/1)[web] S (0/1)[] C (0/1)[]
ECO: M (0/1)[] S (1/2)[react] C (0/1)[]
LING: M (1/1)[javascript] S (0/2)[] C (0/2)[]
Colaboração (somente com membros desta equipe):
7-154: SEM_COMUM
7-193: P82(,osf=0.567,slf=0.737); P85(,osf=0.784,slf=0.538) | 7-194: P40(,osf=0.733,slf=0.373); P82(,osf=0.567,slf=0.737); P85(,osf=0.784,slf=0.538)
7-194: SEM_COMUM</t>
      </text>
    </comment>
    <comment authorId="0" ref="G22">
      <text>
        <t xml:space="preserve">Domínio: Cloud
Ecossistema: AWS Lambda
Linguagens: Python
Match (requisitos do projeto):
DOM: M (0/1)[] S (1/1)[cloud] C (0/1)[]
ECO: M (0/1)[] S (0/2)[] C (1/1)[aws lambda]
LING: M (0/1)[] S (1/2)[python] C (0/2)[]
Colaboração (somente com membros desta equipe):
154-7: SEM_COMUM
154-193: SEM_COMUM
154-194: SEM_COMUM</t>
      </text>
    </comment>
    <comment authorId="0" ref="D23">
      <text>
        <t xml:space="preserve">Domínio: Cloud
Ecossistema: AWS Lambda
Linguagens: Python
Match (requisitos do projeto):
DOM: M (0/1)[] S (1/1)[cloud] C (0/1)[]
ECO: M (0/1)[] S (0/2)[] C (1/1)[aws lambda]
LING: M (0/1)[] S (1/2)[python] C (0/2)[]
Colaboração (somente com membros desta equipe):
438-104: SEM_COMUM
438-270: P82(,osf=0.567,slf=0.737) | 438-293: P124(,osf=0.678,slf=0.507); P152(,osf=0.337,slf=0.880) | 438-558: P85(,osf=0.784,slf=0.538)
438-293: SEM_COMUM</t>
      </text>
    </comment>
    <comment authorId="0" ref="E23">
      <text>
        <t xml:space="preserve">Domínio: Web
Ecossistema: Angular
Linguagens: TypeScript
Match (requisitos do projeto):
DOM: M (1/1)[web] S (0/1)[] C (0/1)[]
ECO: M (0/1)[] S (1/2)[angular] C (0/1)[]
LING: M (0/1)[] S (1/2)[typescript] C (0/2)[]
Colaboração (somente com membros desta equipe):
270-104: SEM_COMUM
270-293: SEM_COMUM
270-438: SEM_COMUM</t>
      </text>
    </comment>
    <comment authorId="0" ref="F23">
      <text>
        <t xml:space="preserve">Domínio: Mobile
Ecossistema: Android
Linguagens: Kotlin
Match (requisitos do projeto):
DOM: M (0/1)[] S (0/1)[] C (0/1)[]
ECO: M (0/1)[] S (0/2)[] C (0/1)[]
LING: M (0/1)[] S (0/2)[] C (0/2)[]
Colaboração (somente com membros desta equipe):
104-270: SEM_COMUM
104-293: SEM_COMUM
104-438: SEM_COMUM</t>
      </text>
    </comment>
    <comment authorId="0" ref="G23">
      <text>
        <t xml:space="preserve">Domínio: Web
Ecossistema: Angular
Linguagens: TypeScript
Match (requisitos do projeto):
DOM: M (1/1)[web] S (0/1)[] C (0/1)[]
ECO: M (0/1)[] S (1/2)[angular] C (0/1)[]
LING: M (0/1)[] S (1/2)[typescript] C (0/2)[]
Colaboração (somente com membros desta equipe):
293-104: SEM_COMUM
293-270: SEM_COMUM
293-438: P124(,osf=0.678,slf=0.507); P152(,osf=0.337,slf=0.880)</t>
      </text>
    </comment>
    <comment authorId="0" ref="D24">
      <text>
        <t xml:space="preserve">Domínio: Web
Ecossistema: Vue
Linguagens: JavaScript
Match (requisitos do projeto):
DOM: M (1/1)[web] S (0/1)[] C (0/1)[]
ECO: M (0/1)[] S (0/2)[] C (0/1)[]
LING: M (1/1)[javascript] S (0/2)[] C (0/2)[]
Colaboração (somente com membros desta equipe):
198-62: SEM_COMUM
198-415: P82(,osf=0.567,slf=0.737)
198-559: SEM_COMUM</t>
      </text>
    </comment>
    <comment authorId="0" ref="E24">
      <text>
        <t xml:space="preserve">Domínio: Web
Ecossistema: Vue
Linguagens: JavaScript
Match (requisitos do projeto):
DOM: M (1/1)[web] S (0/1)[] C (0/1)[]
ECO: M (0/1)[] S (0/2)[] C (0/1)[]
LING: M (1/1)[javascript] S (0/2)[] C (0/2)[]
Colaboração (somente com membros desta equipe):
415-62: P85(,osf=0.784,slf=0.538) | 415-198: P82(,osf=0.567,slf=0.737)
415-198: SEM_COMUM
415-559: SEM_COMUM</t>
      </text>
    </comment>
    <comment authorId="0" ref="F24">
      <text>
        <t xml:space="preserve">Domínio: nan
Ecossistema: MongoDB, iOS/iPadOS
Linguagens: nan
Match (requisitos do projeto):
DOM: M (0/1)[] S (0/1)[] C (0/1)[]
ECO: M (1/1)[mongodb] S (0/2)[] C (0/1)[]
LING: M (0/1)[] S (0/2)[] C (0/2)[]
Colaboração (somente com membros desta equipe):
62-198: SEM_COMUM
62-415: P85(,osf=0.784,slf=0.538)
62-559: SEM_COMUM</t>
      </text>
    </comment>
    <comment authorId="0" ref="G24">
      <text>
        <t xml:space="preserve">Domínio: Mobile
Ecossistema: Android
Linguagens: Kotlin
Match (requisitos do projeto):
DOM: M (0/1)[] S (0/1)[] C (0/1)[]
ECO: M (0/1)[] S (0/2)[] C (0/1)[]
LING: M (0/1)[] S (0/2)[] C (0/2)[]
Colaboração (somente com membros desta equipe):
559-62: SEM_COMUM
559-198: SEM_COMUM
559-415: SEM_COMUM</t>
      </text>
    </comment>
    <comment authorId="0" ref="D26">
      <text>
        <t xml:space="preserve">Domínio: Web
Ecossistema: Vue
Linguagens: JavaScript
Match (requisitos do projeto):
DOM: M (1/2)[web] S (0/1)[] C (0/1)[]
ECO: M (0/3)[] S (0/1)[] C (0/1)[]
LING: M (1/3)[javascript] S (0/2)[] C (0/2)[]
Colaboração (somente com membros desta equipe):
174-169: SEM_COMUM
174-265: SEM_COMUM
174-524: SEM_COMUM</t>
      </text>
    </comment>
    <comment authorId="0" ref="E26">
      <text>
        <t xml:space="preserve">Domínio: Web
Ecossistema: Spring Boot
Linguagens: Java
Match (requisitos do projeto):
DOM: M (1/2)[web] S (0/1)[] C (0/1)[]
ECO: M (0/3)[] S (0/1)[] C (0/1)[]
LING: M (0/3)[] S (1/2)[java] C (0/2)[]
Colaboração (somente com membros desta equipe):
265-169: SEM_COMUM
265-174: SEM_COMUM
265-524: SEM_COMUM</t>
      </text>
    </comment>
    <comment authorId="0" ref="F26">
      <text>
        <t xml:space="preserve">Domínio: Desktop
Ecossistema: .NET
Linguagens: C#
Match (requisitos do projeto):
DOM: M (0/2)[] S (0/1)[] C (1/1)[desktop]
ECO: M (0/3)[] S (1/1)[.net] C (0/1)[]
LING: M (0/3)[] S (1/2)[c#] C (0/2)[]
Colaboração (somente com membros desta equipe):
524-169: SEM_COMUM
524-174: SEM_COMUM
524-265: SEM_COMUM</t>
      </text>
    </comment>
    <comment authorId="0" ref="G26">
      <text>
        <t xml:space="preserve">Domínio: Web
Ecossistema: React
Linguagens: JavaScript
Match (requisitos do projeto):
DOM: M (1/2)[web] S (0/1)[] C (0/1)[]
ECO: M (1/3)[react] S (0/1)[] C (0/1)[]
LING: M (1/3)[javascript] S (0/2)[] C (0/2)[]
Colaboração (somente com membros desta equipe):
169-174: SEM_COMUM
169-265: SEM_COMUM
169-524: SEM_COMUM</t>
      </text>
    </comment>
    <comment authorId="0" ref="D27">
      <text>
        <t xml:space="preserve">Domínio: Cloud
Ecossistema: AWS Lambda
Linguagens: Python
Match (requisitos do projeto):
DOM: M (1/2)[cloud] S (0/1)[] C (0/1)[]
ECO: M (1/3)[aws lambda] S (0/1)[] C (0/1)[]
LING: M (1/3)[python] S (0/2)[] C (0/2)[]
Colaboração (somente com membros desta equipe):
438-297: SEM_COMUM
438-461: SEM_COMUM
438-558: SEM_COMUM</t>
      </text>
    </comment>
    <comment authorId="0" ref="E27">
      <text>
        <t xml:space="preserve">Domínio: Mobile
Ecossistema: Android
Linguagens: Kotlin
Match (requisitos do projeto):
DOM: M (0/2)[] S (1/1)[mobile] C (0/1)[]
ECO: M (0/3)[] S (0/1)[] C (1/1)[android]
LING: M (0/3)[] S (0/2)[] C (1/2)[kotlin]
Colaboração (somente com membros desta equipe):
558-297: SEM_COMUM
558-438: P85(,osf=0.784,slf=0.538) | 558-461: P183(,osf=0.476,slf=0.842); P184(,osf=0.615,slf=0.450); P188(,osf=0.655,slf=0.631); P219(,osf=0.351,slf=0.534); P269(,osf=0.400,slf=0.408); P274(,osf=0.411,slf=0.591)
558-461: SEM_COMUM</t>
      </text>
    </comment>
    <comment authorId="0" ref="F27">
      <text>
        <t xml:space="preserve">Domínio: Web
Ecossistema: React
Linguagens: JavaScript
Match (requisitos do projeto):
DOM: M (1/2)[web] S (0/1)[] C (0/1)[]
ECO: M (1/3)[react] S (0/1)[] C (0/1)[]
LING: M (1/3)[javascript] S (0/2)[] C (0/2)[]
Colaboração (somente com membros desta equipe):
461-297: SEM_COMUM
461-438: SEM_COMUM
461-558: P183(,osf=0.476,slf=0.842); P184(,osf=0.615,slf=0.450); P188(,osf=0.655,slf=0.631); P219(,osf=0.351,slf=0.534); P269(,osf=0.400,slf=0.408); P274(,osf=0.411,slf=0.591)</t>
      </text>
    </comment>
    <comment authorId="0" ref="G27">
      <text>
        <t xml:space="preserve">Domínio: Web
Ecossistema: Node.js
Linguagens: JavaScript
Match (requisitos do projeto):
DOM: M (1/2)[web] S (0/1)[] C (0/1)[]
ECO: M (0/3)[] S (0/1)[] C (0/1)[]
LING: M (1/3)[javascript] S (0/2)[] C (0/2)[]
Colaboração (somente com membros desta equipe):
297-438: SEM_COMUM
297-461: SEM_COMUM
297-558: SEM_COMUM</t>
      </text>
    </comment>
    <comment authorId="0" ref="D28">
      <text>
        <t xml:space="preserve">Domínio: Mobile
Ecossistema: Android
Linguagens: Kotlin
Match (requisitos do projeto):
DOM: M (0/2)[] S (1/1)[mobile] C (0/1)[]
ECO: M (0/3)[] S (0/1)[] C (1/1)[android]
LING: M (0/3)[] S (0/2)[] C (1/2)[kotlin]
Colaboração (somente com membros desta equipe):
324-250: SEM_COMUM
324-370: SEM_COMUM
324-439: SEM_COMUM</t>
      </text>
    </comment>
    <comment authorId="0" ref="E28">
      <text>
        <t xml:space="preserve">Domínio: Web
Ecossistema: React
Linguagens: JavaScript
Match (requisitos do projeto):
DOM: M (1/2)[web] S (0/1)[] C (0/1)[]
ECO: M (1/3)[react] S (0/1)[] C (0/1)[]
LING: M (1/3)[javascript] S (0/2)[] C (0/2)[]
Colaboração (somente com membros desta equipe):
439-250: SEM_COMUM
439-324: SEM_COMUM
439-370: SEM_COMUM</t>
      </text>
    </comment>
    <comment authorId="0" ref="F28">
      <text>
        <t xml:space="preserve">Domínio: Mobile
Ecossistema: iOS/iPadOS
Linguagens: Swift
Match (requisitos do projeto):
DOM: M (0/2)[] S (1/1)[mobile] C (0/1)[]
ECO: M (0/3)[] S (0/1)[] C (0/1)[]
LING: M (0/3)[] S (0/2)[] C (1/2)[swift]
Colaboração (somente com membros desta equipe):
370-250: SEM_COMUM
370-324: SEM_COMUM
370-439: SEM_COMUM</t>
      </text>
    </comment>
    <comment authorId="0" ref="G28">
      <text>
        <t xml:space="preserve">Domínio: Cloud
Ecossistema: AWS Lambda
Linguagens: Python
Match (requisitos do projeto):
DOM: M (1/2)[cloud] S (0/1)[] C (0/1)[]
ECO: M (1/3)[aws lambda] S (0/1)[] C (0/1)[]
LING: M (1/3)[python] S (0/2)[] C (0/2)[]
Colaboração (somente com membros desta equipe):
250-324: SEM_COMUM
250-370: SEM_COMUM
250-439: SEM_COMUM</t>
      </text>
    </comment>
    <comment authorId="0" ref="D29">
      <text>
        <t xml:space="preserve">Domínio: Mobile
Ecossistema: iOS/iPadOS
Linguagens: Swift
Match (requisitos do projeto):
DOM: M (0/2)[] S (1/1)[mobile] C (0/1)[]
ECO: M (0/3)[] S (0/1)[] C (0/1)[]
LING: M (0/3)[] S (0/2)[] C (1/2)[swift]
Colaboração (somente com membros desta equipe):
331-36: SEM_COMUM
331-181: SEM_COMUM
331-494: SEM_COMUM</t>
      </text>
    </comment>
    <comment authorId="0" ref="E29">
      <text>
        <t xml:space="preserve">Domínio: Mobile
Ecossistema: Android
Linguagens: Kotlin
Match (requisitos do projeto):
DOM: M (0/2)[] S (1/1)[mobile] C (0/1)[]
ECO: M (0/3)[] S (0/1)[] C (1/1)[android]
LING: M (0/3)[] S (0/2)[] C (1/2)[kotlin]
Colaboração (somente com membros desta equipe):
36-181: P82(,osf=0.567,slf=0.737)
36-331: SEM_COMUM
36-494: SEM_COMUM</t>
      </text>
    </comment>
    <comment authorId="0" ref="F29">
      <text>
        <t xml:space="preserve">Domínio: Cloud
Ecossistema: AWS Lambda
Linguagens: Python
Match (requisitos do projeto):
DOM: M (1/2)[cloud] S (0/1)[] C (0/1)[]
ECO: M (1/3)[aws lambda] S (0/1)[] C (0/1)[]
LING: M (1/3)[python] S (0/2)[] C (0/2)[]
Colaboração (somente com membros desta equipe):
181-36: P82(,osf=0.567,slf=0.737)
181-331: SEM_COMUM
181-494: SEM_COMUM</t>
      </text>
    </comment>
    <comment authorId="0" ref="G29">
      <text>
        <t xml:space="preserve">Domínio: Cloud
Ecossistema: AWS Lambda
Linguagens: Python
Match (requisitos do projeto):
DOM: M (1/2)[cloud] S (0/1)[] C (0/1)[]
ECO: M (1/3)[aws lambda] S (0/1)[] C (0/1)[]
LING: M (1/3)[python] S (0/2)[] C (0/2)[]
Colaboração (somente com membros desta equipe):
494-36: SEM_COMUM
494-181: SEM_COMUM
494-331: SEM_COMUM</t>
      </text>
    </comment>
    <comment authorId="0" ref="D30">
      <text>
        <t xml:space="preserve">Domínio: Web
Ecossistema: Angular
Linguagens: TypeScript
Match (requisitos do projeto):
DOM: M (1/2)[web] S (0/1)[] C (0/1)[]
ECO: M (0/3)[] S (0/1)[] C (0/1)[]
LING: M (1/3)[typescript] S (0/2)[] C (0/2)[]
Colaboração (somente com membros desta equipe):
479-316: SEM_COMUM
479-357: SEM_COMUM
479-389: SEM_COMUM</t>
      </text>
    </comment>
    <comment authorId="0" ref="E30">
      <text>
        <t xml:space="preserve">Domínio: Mobile
Ecossistema: Android
Linguagens: Kotlin
Match (requisitos do projeto):
DOM: M (0/2)[] S (1/1)[mobile] C (0/1)[]
ECO: M (0/3)[] S (0/1)[] C (1/1)[android]
LING: M (0/3)[] S (0/2)[] C (1/2)[kotlin]
Colaboração (somente com membros desta equipe):
389-316: SEM_COMUM
389-357: SEM_COMUM
389-479: SEM_COMUM</t>
      </text>
    </comment>
    <comment authorId="0" ref="F30">
      <text>
        <t xml:space="preserve">Domínio: Web
Ecossistema: Node.js
Linguagens: JavaScript
Match (requisitos do projeto):
DOM: M (1/2)[web] S (0/1)[] C (0/1)[]
ECO: M (0/3)[] S (0/1)[] C (0/1)[]
LING: M (1/3)[javascript] S (0/2)[] C (0/2)[]
Colaboração (somente com membros desta equipe):
357-316: SEM_COMUM
357-389: SEM_COMUM
357-479: SEM_COMUM</t>
      </text>
    </comment>
    <comment authorId="0" ref="G30">
      <text>
        <t xml:space="preserve">Domínio: Web
Ecossistema: Node.js
Linguagens: JavaScript
Match (requisitos do projeto):
DOM: M (1/2)[web] S (0/1)[] C (0/1)[]
ECO: M (0/3)[] S (0/1)[] C (0/1)[]
LING: M (1/3)[javascript] S (0/2)[] C (0/2)[]
Colaboração (somente com membros desta equipe):
316-357: SEM_COMUM
316-389: SEM_COMUM
316-479: SEM_COMUM</t>
      </text>
    </comment>
    <comment authorId="0" ref="A32">
      <text>
        <t xml:space="preserve">"DOM M[Hardware, Embedded] S[IoT] C[Cloud]
ECO M[PCB, Desenvolvimento de Placa] S[Eletrônica (circuitos lógicos e analógicos)] C[Instrumentação (osciloscópio, analisador lógico), Prototipação]
LING M[C] S[C++] C[Python]"
</t>
      </text>
    </comment>
    <comment authorId="0" ref="D32">
      <text>
        <t xml:space="preserve">Domínio: IoT, Web, Embedded
Ecossistema: iOS/iPadOS, PCB, Prototipação
Linguagens: C++, Java, C
Match (requisitos do projeto):
DOM: M (1/2)[embedded] S (1/1)[iot] C (0/1)[]
ECO: M (1/2)[pcb] S (0/1)[] C (1/2)[prototipação]
LING: M (1/1)[c] S (1/1)[c++] C (0/1)[]
Colaboração (somente com membros desta equipe):
65-71: SEM_COMUM
65-63: SEM_COMUM
65-261: P11(osf=0.460,slf=0.781); P76(osf=0.821,slf=0.637); P118(osf=0.593,slf=0.504)</t>
      </text>
    </comment>
    <comment authorId="0" ref="E32">
      <text>
        <t xml:space="preserve">Domínio: IoT, Web, Hardware
Ecossistema: iOS/iPadOS, Desenvolvimento de Placa
Linguagens: HTML, JavaScript, Python, C
Match (requisitos do projeto):
DOM: M (1/2)[hardware] S (1/1)[iot] C (0/1)[]
ECO: M (1/2)[desenvolvimento de placa] S (0/1)[] C (0/2)[]
LING: M (1/1)[c] S (0/1)[] C (1/1)[python]
Colaboração (somente com membros desta equipe):
71-63: SEM_COMUM
71-65: SEM_COMUM
71-261: SEM_COMUM</t>
      </text>
    </comment>
    <comment authorId="0" ref="F32">
      <text>
        <t xml:space="preserve">Domínio: IoT
Ecossistema: Eletrônica (circuitos lógicos e analógicos)
Linguagens: Lua, Java
Match (requisitos do projeto):
DOM: M (0/2)[] S (1/1)[iot] C (0/1)[]
ECO: M (0/2)[] S (1/1)[eletrônica (circuitos lógicos e analógicos)] C (0/2)[]
LING: M (0/1)[] S (0/1)[] C (0/1)[]
Colaboração (somente com membros desta equipe):
63-71: SEM_COMUM
63-65: SEM_COMUM
63-261: SEM_COMUM</t>
      </text>
    </comment>
    <comment authorId="0" ref="G32">
      <text>
        <t xml:space="preserve">Domínio: Cloud
Ecossistema: AWS Lambda, Instrumentação (osciloscópio, analisador lógico)
Linguagens: Python
Match (requisitos do projeto):
DOM: M (0/2)[] S (0/1)[] C (1/1)[cloud]
ECO: M (0/2)[] S (0/1)[] C (1/2)[instrumentação (osciloscópio, analisador lógico)]
LING: M (0/1)[] S (0/1)[] C (1/1)[python]
Colaboração (somente com membros desta equipe):
261-71: SEM_COMUM
261-63: SEM_COMUM
261-65: P76(osf=0.821,slf=0.637); P11(osf=0.460,slf=0.781); P118(osf=0.593,slf=0.504)</t>
      </text>
    </comment>
    <comment authorId="0" ref="D33">
      <text>
        <t xml:space="preserve">Domínio: Web, Embedded
Ecossistema: React, PCB
Linguagens: JavaScript, C
Match (requisitos do projeto):
DOM: M (1/2)[embedded] S (0/1)[] C (0/1)[]
ECO: M (1/2)[pcb] S (0/1)[] C (0/2)[]
LING: M (1/1)[c] S (0/1)[] C (0/1)[]
Colaboração (somente com membros desta equipe):
508-36: SEM_COMUM
508-193: SEM_COMUM
508-335: SEM_COMUM</t>
      </text>
    </comment>
    <comment authorId="0" ref="E33">
      <text>
        <t xml:space="preserve">Domínio: Web, Hardware
Ecossistema: Spring Boot, Desenvolvimento de Placa
Linguagens: Java, C++, Python
Match (requisitos do projeto):
DOM: M (1/2)[hardware] S (0/1)[] C (0/1)[]
ECO: M (1/2)[desenvolvimento de placa] S (0/1)[] C (0/2)[]
LING: M (0/1)[] S (1/1)[c++] C (1/1)[python]
Colaboração (somente com membros desta equipe):
193-36: SEM_COMUM
193-335: SEM_COMUM
193-508: SEM_COMUM</t>
      </text>
    </comment>
    <comment authorId="0" ref="F33">
      <text>
        <t xml:space="preserve">Domínio: Mobile, IoT
Ecossistema: Android, Eletrônica (circuitos lógicos e analógicos), Prototipação
Linguagens: Kotlin, C++
Match (requisitos do projeto):
DOM: M (0/2)[] S (1/1)[iot] C (0/1)[]
ECO: M (0/2)[] S (1/1)[eletrônica (circuitos lógicos e analógicos)] C (1/2)[prototipação]
LING: M (0/1)[] S (1/1)[c++] C (0/1)[]
Colaboração (somente com membros desta equipe):
36-193: SEM_COMUM
36-335: SEM_COMUM
36-508: SEM_COMUM</t>
      </text>
    </comment>
    <comment authorId="0" ref="G33">
      <text>
        <t xml:space="preserve">Domínio: Desktop, Cloud
Ecossistema: .NET, Instrumentação (osciloscópio, analisador lógico)
Linguagens: C#, C
Match (requisitos do projeto):
DOM: M (0/2)[] S (0/1)[] C (1/1)[cloud]
ECO: M (0/2)[] S (0/1)[] C (1/2)[instrumentação (osciloscópio, analisador lógico)]
LING: M (1/1)[c] S (0/1)[] C (0/1)[]
Colaboração (somente com membros desta equipe):
335-508: P196(osf=0.888,slf=0.339)
335-193: P85(osf=0.784,slf=0.538); P82(osf=0.567,slf=0.737)
335-36: P82(osf=0.567,slf=0.737)</t>
      </text>
    </comment>
    <comment authorId="0" ref="D34">
      <text>
        <t xml:space="preserve">Domínio: Web, Embedded, Hardware
Ecossistema: Node.js, PCB
Linguagens: JavaScript, C, C++
Match (requisitos do projeto):
DOM: M (2/2)[hardware, embedded] S (0/1)[] C (0/1)[]
ECO: M (1/2)[pcb] S (0/1)[] C (0/2)[]
LING: M (1/1)[c] S (1/1)[c++] C (0/1)[]
Colaboração (somente com membros desta equipe):
242-93: SEM_COMUM
242-168: SEM_COMUM
242-446: SEM_COMUM</t>
      </text>
    </comment>
    <comment authorId="0" ref="E34">
      <text>
        <t xml:space="preserve">Domínio: Mobile, IoT
Ecossistema: Android, Eletrônica (circuitos lógicos e analógicos)
Linguagens: Kotlin
Match (requisitos do projeto):
DOM: M (0/2)[] S (1/1)[iot] C (0/1)[]
ECO: M (0/2)[] S (1/1)[eletrônica (circuitos lógicos e analógicos)] C (0/2)[]
LING: M (0/1)[] S (0/1)[] C (0/1)[]
Colaboração (somente com membros desta equipe [Dev242, Dev168, Dev446, Dev93]):
168-242: SEM_COMUM
168-446: SEM_COMUM
168-93: SEM_COMUM</t>
      </text>
    </comment>
    <comment authorId="0" ref="F34">
      <text>
        <t xml:space="preserve">Domínio: Mobile
Ecossistema: Android, Desenvolvimento de Placa, Prototipação
Linguagens: Kotlin
Match (requisitos do projeto):
DOM: M (0/2)[] S (0/1)[] C (0/1)[]
ECO: M (1/2)[desenvolvimento de placa] S (0/1)[] C (1/2)[prototipação]
LING: M (0/1)[] S (0/1)[] C (0/1)[]
Colaboração (somente com membros desta equipe):
446-93: SEM_COMUM
446-168: SEM_COMUM
446-242: SEM_COMUM</t>
      </text>
    </comment>
    <comment authorId="0" ref="G34">
      <text>
        <t xml:space="preserve">Domínio: Desktop, Cloud
Ecossistema: .NET, Instrumentação (osciloscópio, analisador lógico)
Linguagens: C#, Python
Match (requisitos do projeto):
DOM: M (0/2)[] S (0/1)[] C (1/1)[cloud]
ECO: M (0/2)[] S (0/1)[] C (1/2)[instrumentação (osciloscópio, analisador lógico)]
LING: M (0/1)[] S (0/1)[] C (1/1)[python]
Colaboração (somente com membros desta equipe):
93-168: SEM_COMUM
93-242: SEM_COMUM
93-446: SEM_COMUM</t>
      </text>
    </comment>
    <comment authorId="0" ref="D35">
      <text>
        <t xml:space="preserve">Domínio: Web
 Ecossistema: React
 Linguagens: JavaScript
 Match (requisitos do projeto):
 DOM: M (0/2)[] S (0/1)[] C (0/1)[]
 ECO: M (0/2)[] S (0/1)[] C (0/2)[]
 LING: M (0/1)[] S (0/1)[] C (0/1)[]
 Colaboração (somente com membros desta equipe [Dev568, Dev463, Dev7, Dev498]):
 568-463: P184(osf=0.615,slf=0.450); P272(osf=0.487,slf=0.637); P274(osf=0.411,slf=0.591)
 568-7: SEM_COMUM
 568-498: SEM_COMUM</t>
      </text>
    </comment>
    <comment authorId="0" ref="E35">
      <text>
        <t xml:space="preserve">Domínio: Web
 Ecossistema: Vue
 Linguagens: JavaScript
 Match (requisitos do projeto):
 DOM: M (0/2)[] S (0/1)[] C (0/1)[]
 ECO: M (0/2)[] S (0/1)[] C (0/3)[]
 LING: M (0/1)[] S (0/1)[] C (0/1)[]
 Colaboração (somente com membros desta equipe):
 463-7: SEM_COMUM
 463-498: SEM_COMUM
 463-568: SEM_COMUM</t>
      </text>
    </comment>
    <comment authorId="0" ref="F35">
      <text>
        <t xml:space="preserve">Domínio: Web
 Ecossistema: React
 Linguagens: JavaScript
 Match (requisitos do projeto):
 DOM: M (0/2)[] S (0/1)[] C (0/1)[]
 ECO: M (0/2)[] S (0/1)[] C (0/3)[]
 LING: M (0/1)[] S (0/1)[] C (0/1)[]
 Colaboração (somente com membros desta equipe):
 7-463: SEM_COMUM
 7-498: SEM_COMUM
 7-568: SEM_COMUM</t>
      </text>
    </comment>
    <comment authorId="0" ref="G35">
      <text>
        <t xml:space="preserve">Domínio: Mobile
 Ecossistema: Android
 Linguagens: Kotlin
 Match (requisitos do projeto):
 DOM: M (0/2)[] S (0/1)[] C (0/1)[]
 ECO: M (0/2)[] S (0/1)[] C (0/2)[]
 LING: M (0/1)[] S (1/1)[kotlin] C (0/1)[]
 Colaboração (somente com membros desta equipe [Dev568, Dev463, Dev7, Dev498]):
 498-568: SEM_COMUM
 498-463: P85(osf=0.784,slf=0.538); P82(osf=0.567,slf=0.737)
 498-7: P85(osf=0.784,slf=0.538); P82(osf=0.567,slf=0.737)</t>
      </text>
    </comment>
    <comment authorId="0" ref="D36">
      <text>
        <t xml:space="preserve">Domínio: Web
 Ecossistema: Spring Boot
 Linguagens: Java
 Match (requisitos do projeto):
 DOM: M (0/2)[] S (0/1)[] C (0/1)[]
 ECO: M (0/2)[] S (0/1)[] C (0/2)[]
 LING: M (0/1)[] S (0/1)[] C (0/1)[]
 Colaboração (somente com membros desta equipe [Dev498, Dev67, Dev94, Dev291]):
 67-498: SEM_COMUM
 67-94: SEM_COMUM
 67-291: SEM_COMUM</t>
      </text>
    </comment>
    <comment authorId="0" ref="E36">
      <text>
        <t xml:space="preserve">Domínio: Web
 Ecossistema: Vue
 Linguagens: JavaScript
 Match (requisitos do projeto):
 DOM: M (0/2)[] S (0/1)[] C (0/1)[]
 ECO: M (0/2)[] S (0/1)[] C (0/2)[]
 LING: M (0/1)[] S (0/1)[] C (0/1)[]
 Colaboração (somente com membros desta equipe [Dev498, Dev67, Dev94, Dev291]):
 94-498: SEM_COMUM
 94-67: SEM_COMUM
 94-291: P82(osf=0.567,slf=0.737)</t>
      </text>
    </comment>
    <comment authorId="0" ref="F36">
      <text>
        <t xml:space="preserve">Domínio: Desktop
 Ecossistema: .NET
 Linguagens: C#
 Match (requisitos do projeto):
 DOM: M (0/2)[] S (0/1)[] C (0/1)[]
 ECO: M (0/2)[] S (0/1)[] C (0/2)[]
 LING: M (0/1)[] S (0/1)[] C (0/1)[]
 Colaboração (somente com membros desta equipe [Dev498, Dev67, Dev94, Dev291]):
 291-498: SEM_COMUM
 291-67: SEM_COMUM
 291-94: P82(osf=0.567,slf=0.737)</t>
      </text>
    </comment>
    <comment authorId="0" ref="G36">
      <text>
        <t xml:space="preserve">Domínio: Desktop
 Ecossistema: .NET
 Linguagens: C#
 Match (requisitos do projeto):
 DOM: M (0/2)[] S (0/1)[] C (0/1)[]
 ECO: M (0/2)[] S (0/1)[] C (0/3)[]
 LING: M (0/1)[] S (0/1)[] C (0/1)[]
 Colaboração (somente com membros desta equipe):
 450-67: SEM_COMUM
 450-94: SEM_COMUM
 450-291: SEM_COMUM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"DOM  M[Desktop, Web] S[Cloud] C[Mobile]
ECO  M[.NET] S[React] C[MongoDB]
LING M[C#] S[JavaScript, TypeScript] C[Python]"
</t>
      </text>
    </comment>
    <comment authorId="0" ref="D2">
      <text>
        <t xml:space="preserve">Domínio: Web
Ecossistema: React
Linguagens: JavaScript
Match (requisitos do projeto):
DOM: M (1/2)[web] S (0/1)[] C (0/1)[]
ECO: M (0/1)[] S (1/1)[react] C (0/1)[]
LING: M (0/1)[] S (1/2)[javascript] C (0/1)[]
Colaboração (somente com membros desta equipe):
169-27: SEM_COMUM
169-81: SEM_COMUM
169-363: SEM_COMUM</t>
      </text>
    </comment>
    <comment authorId="0" ref="E2">
      <text>
        <t xml:space="preserve">Domínio: Web
Ecossistema: nan
Linguagens: JavaScript
Match (requisitos do projeto):
DOM: M (1/2)[web] S (0/1)[] C (0/1)[]
ECO: M (0/1)[] S (0/1)[] C (0/1)[]
LING: M (0/1)[] S (1/2)[javascript] C (0/1)[]
Colaboração (somente com membros desta equipe):
27-81: SEM_COMUM
27-169: SEM_COMUM
27-363: P103(,osf=0.739,slf=0.847); P123(,osf=0.393,slf=0.825); P144(,osf=0.541,slf=0.688); P145(,osf=0.612,slf=0.871); P148(,osf=0.411,slf=0.639); P149(,osf=0.325,slf=0.603); P150(,osf=0.475,slf=0.317); P171(,osf=0.486,slf=0.531); P177(,osf=0.340,slf=0.621); P179(,osf=0.489,slf=0.711); P239(,osf=0.422,slf=0.462); P240(,osf=0.385,slf=0.409); P258(,osf=0.666,slf=0.352); P72(,osf=0.639,slf=0.456); P80(,osf=0.559,slf=0.624); P82(,osf=0.567,slf=0.737); P85(,osf=0.784,slf=0.538); P99(,osf=0.757,slf=0.452)</t>
      </text>
    </comment>
    <comment authorId="0" ref="F2">
      <text>
        <t xml:space="preserve">Domínio: IoT
Ecossistema: nan
Linguagens: JavaScript
Match (requisitos do projeto):
DOM: M (0/2)[] S (0/1)[] C (0/1)[]
ECO: M (0/1)[] S (0/1)[] C (0/1)[]
LING: M (0/1)[] S (1/2)[javascript] C (0/1)[]
Colaboração (somente com membros desta equipe):
81-27: SEM_COMUM
81-169: SEM_COMUM
81-363: SEM_COMUM</t>
      </text>
    </comment>
    <comment authorId="0" ref="G2">
      <text>
        <t xml:space="preserve">Domínio: Mobile
Ecossistema: iOS/iPadOS
Linguagens: Swift
Match (requisitos do projeto):
DOM: M (0/2)[] S (0/1)[] C (1/1)[mobile]
ECO: M (0/1)[] S (0/1)[] C (0/1)[]
LING: M (0/1)[] S (0/2)[] C (0/1)[]
Colaboração (somente com membros desta equipe):
363-27: P103(,osf=0.739,slf=0.847); P123(,osf=0.393,slf=0.825); P144(,osf=0.541,slf=0.688); P145(,osf=0.612,slf=0.871); P148(,osf=0.411,slf=0.639); P149(,osf=0.325,slf=0.603); P150(,osf=0.475,slf=0.317); P171(,osf=0.486,slf=0.531); P177(,osf=0.340,slf=0.621); P179(,osf=0.489,slf=0.711); P239(,osf=0.422,slf=0.462); P240(,osf=0.385,slf=0.409); P258(,osf=0.666,slf=0.352); P72(,osf=0.639,slf=0.456); P80(,osf=0.559,slf=0.624); P82(,osf=0.567,slf=0.737); P85(,osf=0.784,slf=0.538); P99(,osf=0.757,slf=0.452) | 363-447: P123(,osf=0.393,slf=0.825); P144(,osf=0.541,slf=0.688); P145(,osf=0.612,slf=0.871); P148(,osf=0.411,slf=0.639); P149(,osf=0.325,slf=0.603); P150(,osf=0.475,slf=0.317); P171(,osf=0.486,slf=0.531); P177(,osf=0.340,slf=0.621); P179(,osf=0.489,slf=0.711); P214(,osf=0.335,slf=0.820); P239(,osf=0.422,slf=0.462); P240(,osf=0.385,slf=0.409); P258(,osf=0.666,slf=0.352); P82(,osf=0.567,slf=0.737); P85(,osf=0.784,slf=0.538) | 363-544: P123(,osf=0.393,slf=0.825); P144(,osf=0.541,slf=0.688); P145(,osf=0.612,slf=0.871); P148(,osf=0.411,slf=0.639); P149(,osf=0.325,slf=0.603); P150(,osf=0.475,slf=0.317); P171(,osf=0.486,slf=0.531); P177(,osf=0.340,slf=0.621); P179(,osf=0.489,slf=0.711); P239(,osf=0.422,slf=0.462); P240(,osf=0.385,slf=0.409); P258(,osf=0.666,slf=0.352); P82(,osf=0.567,slf=0.737); P85(,osf=0.784,slf=0.538)
363-81: SEM_COMUM
363-169: SEM_COMUM</t>
      </text>
    </comment>
    <comment authorId="0" ref="D4">
      <text>
        <t xml:space="preserve">Domínio: Mobile
Ecossistema: Android
Linguagens: Kotlin
Match (requisitos do projeto):
DOM: M (0/2)[] S (0/1)[] C (1/1)[mobile]
ECO: M (0/1)[] S (0/1)[] C (0/1)[]
LING: M (0/1)[] S (0/2)[] C (0/1)[]
Colaboração (somente com membros desta equipe):
205-363: SEM_COMUM
205-447: SEM_COMUM
205-526: P139(,osf=0.325,slf=0.436)</t>
      </text>
    </comment>
    <comment authorId="0" ref="E4">
      <text>
        <t xml:space="preserve">Domínio: Web
Ecossistema: React
Linguagens: JavaScript
Match (requisitos do projeto):
DOM: M (1/2)[web] S (0/1)[] C (0/1)[]
ECO: M (0/1)[] S (1/1)[react] C (0/1)[]
LING: M (0/1)[] S (1/2)[javascript] C (0/1)[]
Colaboração (somente com membros desta equipe):
526-205: P139(,osf=0.325,slf=0.436)
526-363: SEM_COMUM
526-447: SEM_COMUM</t>
      </text>
    </comment>
    <comment authorId="0" ref="F4">
      <text>
        <t xml:space="preserve">Domínio: Mobile
Ecossistema: iOS/iPadOS
Linguagens: Swift
Match (requisitos do projeto):
DOM: M (0/2)[] S (0/1)[] C (1/1)[mobile]
ECO: M (0/1)[] S (0/1)[] C (0/1)[]
LING: M (0/1)[] S (0/2)[] C (0/1)[]
Colaboração (somente com membros desta equipe):
363-205: SEM_COMUM
363-447: SEM_COMUM
363-526: SEM_COMUM</t>
      </text>
    </comment>
    <comment authorId="0" ref="G4">
      <text>
        <t xml:space="preserve">Domínio: Mobile
Ecossistema: iOS/iPadOS
Linguagens: Swift
Match (requisitos do projeto):
DOM: M (0/2)[] S (0/1)[] C (1/1)[mobile]
ECO: M (0/1)[] S (0/1)[] C (0/1)[]
LING: M (0/1)[] S (0/2)[] C (0/1)[]
Colaboração (somente com membros desta equipe):
447-205: SEM_COMUM
447-363: P123(,osf=0.393,slf=0.825); P144(,osf=0.541,slf=0.688); P145(,osf=0.612,slf=0.871); P148(,osf=0.411,slf=0.639); P149(,osf=0.325,slf=0.603); P150(,osf=0.475,slf=0.317); P171(,osf=0.486,slf=0.531); P177(,osf=0.340,slf=0.621); P179(,osf=0.489,slf=0.711); P214(,osf=0.335,slf=0.820); P239(,osf=0.422,slf=0.462); P240(,osf=0.385,slf=0.409); P258(,osf=0.666,slf=0.352); P82(,osf=0.567,slf=0.737); P85(,osf=0.784,slf=0.538)
447-526: SEM_COMUM</t>
      </text>
    </comment>
    <comment authorId="0" ref="D5">
      <text>
        <t xml:space="preserve">Domínio: nan
Ecossistema: Android, CouchDB, iOS/iPadOS
Linguagens: JavaScript
Match (requisitos do projeto):
DOM: M (0/2)[] S (0/1)[] C (0/1)[]
ECO: M (0/1)[] S (0/1)[] C (0/1)[]
LING: M (0/1)[] S (1/2)[javascript] C (0/1)[]
Colaboração (somente com membros desta equipe):
33-93: SEM_COMUM
33-270: SEM_COMUM
33-303: SEM_COMUM</t>
      </text>
    </comment>
    <comment authorId="0" ref="E5">
      <text>
        <t xml:space="preserve">Domínio: Desktop
Ecossistema: .NET
Linguagens: C#
Match (requisitos do projeto):
DOM: M (1/2)[desktop] S (0/1)[] C (0/1)[]
ECO: M (1/1)[.net] S (0/1)[] C (0/1)[]
LING: M (1/1)[c#] S (0/2)[] C (0/1)[]
Colaboração (somente com membros desta equipe):
303-33: SEM_COMUM
303-93: SEM_COMUM
303-270: SEM_COMUM</t>
      </text>
    </comment>
    <comment authorId="0" ref="F5">
      <text>
        <t xml:space="preserve">Domínio: Web
Ecossistema: Angular
Linguagens: TypeScript
Match (requisitos do projeto):
DOM: M (1/2)[web] S (0/1)[] C (0/1)[]
ECO: M (0/1)[] S (0/1)[] C (0/1)[]
LING: M (0/1)[] S (1/2)[typescript] C (0/1)[]
Colaboração (somente com membros desta equipe):
270-33: SEM_COMUM
270-93: P82(,osf=0.567,slf=0.737) | 270-411: P82(,osf=0.567,slf=0.737) | 270-438: P82(,osf=0.567,slf=0.737)
270-303: SEM_COMUM</t>
      </text>
    </comment>
    <comment authorId="0" ref="G5">
      <text>
        <t xml:space="preserve">Domínio: Desktop
Ecossistema: .NET
Linguagens: C#
Match (requisitos do projeto):
DOM: M (1/2)[desktop] S (0/1)[] C (0/1)[]
ECO: M (1/1)[.net] S (0/1)[] C (0/1)[]
LING: M (1/1)[c#] S (0/2)[] C (0/1)[]
Colaboração (somente com membros desta equipe):
93-33: SEM_COMUM
93-270: P82(,osf=0.567,slf=0.737) | 93-292: P82(,osf=0.567,slf=0.737) | 93-437: P158(,osf=0.670,slf=0.322); P82(,osf=0.567,slf=0.737); P85(,osf=0.784,slf=0.538)
93-303: SEM_COMUM</t>
      </text>
    </comment>
    <comment authorId="0" ref="D6">
      <text>
        <t xml:space="preserve">Domínio: Web
Ecossistema: Node.js
Linguagens: JavaScript
Match (requisitos do projeto):
DOM: M (1/2)[web] S (0/1)[] C (0/1)[]
ECO: M (0/1)[] S (0/1)[] C (0/1)[]
LING: M (0/1)[] S (1/2)[javascript] C (0/1)[]
Colaboração (somente com membros desta equipe):
316-308: SEM_COMUM
316-389: SEM_COMUM
316-526: SEM_COMUM</t>
      </text>
    </comment>
    <comment authorId="0" ref="E6">
      <text>
        <t xml:space="preserve">Domínio: Mobile
Ecossistema: Android
Linguagens: Kotlin
Match (requisitos do projeto):
DOM: M (0/2)[] S (0/1)[] C (1/1)[mobile]
ECO: M (0/1)[] S (0/1)[] C (0/1)[]
LING: M (0/1)[] S (0/2)[] C (0/1)[]
Colaboração (somente com membros desta equipe):
389-308: SEM_COMUM
389-316: SEM_COMUM
389-526: SEM_COMUM</t>
      </text>
    </comment>
    <comment authorId="0" ref="F6">
      <text>
        <t xml:space="preserve">Domínio: Web
Ecossistema: React
Linguagens: JavaScript
Match (requisitos do projeto):
DOM: M (1/2)[web] S (0/1)[] C (0/1)[]
ECO: M (0/1)[] S (1/1)[react] C (0/1)[]
LING: M (0/1)[] S (1/2)[javascript] C (0/1)[]
Colaboração (somente com membros desta equipe):
526-308: SEM_COMUM
526-316: SEM_COMUM
526-389: SEM_COMUM</t>
      </text>
    </comment>
    <comment authorId="0" ref="G6">
      <text>
        <t xml:space="preserve">Domínio: Web
Ecossistema: React
Linguagens: JavaScript
Match (requisitos do projeto):
DOM: M (1/2)[web] S (0/1)[] C (0/1)[]
ECO: M (0/1)[] S (1/1)[react] C (0/1)[]
LING: M (0/1)[] S (1/2)[javascript] C (0/1)[]
Colaboração (somente com membros desta equipe):
308-316: SEM_COMUM
308-389: SEM_COMUM
308-526: SEM_COMUM</t>
      </text>
    </comment>
    <comment authorId="0" ref="A8">
      <text>
        <t xml:space="preserve">"DOM  M[Mobile] S[Web] C[Cloud]
ECO  M[Android, iOS/iPadOS] S[React] C[.NET]
LING M[Kotlin, Swift] S[JavaScript, TypeScript] C[Java, C#]"
</t>
      </text>
    </comment>
    <comment authorId="0" ref="D8">
      <text>
        <t xml:space="preserve">Domínio: Desktop
Ecossistema: .NET
Linguagens: C#
Match (requisitos do projeto):
DOM: M (0/1)[] S (0/1)[] C (0/1)[]
ECO: M (0/2)[] S (0/1)[] C (1/1)[.net]
LING: M (0/2)[] S (0/2)[] C (1/2)[c#]
Colaboração (somente com membros desta equipe):
466-93: SEM_COMUM
466-292: SEM_COMUM
466-437: SEM_COMUM</t>
      </text>
    </comment>
    <comment authorId="0" ref="E8">
      <text>
        <t xml:space="preserve">Domínio: Desktop
Ecossistema: .NET
Linguagens: C#
Match (requisitos do projeto):
DOM: M (0/1)[] S (0/1)[] C (0/1)[]
ECO: M (0/2)[] S (0/1)[] C (1/1)[.net]
LING: M (0/2)[] S (0/2)[] C (1/2)[c#]
Colaboração (somente com membros desta equipe):
93-292: SEM_COMUM
93-437: SEM_COMUM
93-466: SEM_COMUM</t>
      </text>
    </comment>
    <comment authorId="0" ref="F8">
      <text>
        <t xml:space="preserve">Domínio: Mobile
Ecossistema: iOS/iPadOS
Linguagens: Swift
Match (requisitos do projeto):
DOM: M (1/1)[mobile] S (0/1)[] C (0/1)[]
ECO: M (1/2)[ios/ipados] S (0/1)[] C (0/1)[]
LING: M (1/2)[swift] S (0/2)[] C (0/2)[]
Colaboração (somente com membros desta equipe):
437-93: P158(,osf=0.670,slf=0.322); P82(,osf=0.567,slf=0.737); P85(,osf=0.784,slf=0.538) | 437-292: P82(,osf=0.567,slf=0.737)
437-292: SEM_COMUM
437-466: SEM_COMUM</t>
      </text>
    </comment>
    <comment authorId="0" ref="G8">
      <text>
        <t xml:space="preserve">Domínio: Web
Ecossistema: Node.js
Linguagens: JavaScript
Match (requisitos do projeto):
DOM: M (0/1)[] S (1/1)[web] C (0/1)[]
ECO: M (0/2)[] S (0/1)[] C (0/1)[]
LING: M (0/2)[] S (1/2)[javascript] C (0/2)[]
Colaboração (somente com membros desta equipe):
292-93: P82(,osf=0.567,slf=0.737) | 292-437: P82(,osf=0.567,slf=0.737)
292-437: SEM_COMUM
292-466: SEM_COMUM</t>
      </text>
    </comment>
    <comment authorId="0" ref="D9">
      <text>
        <t xml:space="preserve">Domínio: Web
Ecossistema: Angular
Linguagens: TypeScript
Match (requisitos do projeto):
DOM: M (0/1)[] S (1/1)[web] C (0/1)[]
ECO: M (0/2)[] S (0/1)[] C (0/1)[]
LING: M (0/2)[] S (1/2)[typescript] C (0/2)[]
Colaboração (somente com membros desta equipe):
270-411: SEM_COMUM
270-479: SEM_COMUM
270-503: SEM_COMUM</t>
      </text>
    </comment>
    <comment authorId="0" ref="E9">
      <text>
        <t xml:space="preserve">Domínio: Web
Ecossistema: Spring Boot
Linguagens: Java
Match (requisitos do projeto):
DOM: M (0/1)[] S (1/1)[web] C (0/1)[]
ECO: M (0/2)[] S (0/1)[] C (0/1)[]
LING: M (0/2)[] S (0/2)[] C (1/2)[java]
Colaboração (somente com membros desta equipe):
411-270: P82(,osf=0.567,slf=0.737) | 411-479: P179(,osf=0.489,slf=0.711) | 411-503: P145(,osf=0.612,slf=0.871); P177(,osf=0.340,slf=0.621); P284(,osf=0.383,slf=0.553)
411-479: SEM_COMUM
411-503: SEM_COMUM</t>
      </text>
    </comment>
    <comment authorId="0" ref="F9">
      <text>
        <t xml:space="preserve">Domínio: Web
Ecossistema: Angular
Linguagens: TypeScript
Match (requisitos do projeto):
DOM: M (0/1)[] S (1/1)[web] C (0/1)[]
ECO: M (0/2)[] S (0/1)[] C (0/1)[]
LING: M (0/2)[] S (1/2)[typescript] C (0/2)[]
Colaboração (somente com membros desta equipe):
479-270: SEM_COMUM
479-411: P179(,osf=0.489,slf=0.711)
479-503: SEM_COMUM</t>
      </text>
    </comment>
    <comment authorId="0" ref="G9">
      <text>
        <t xml:space="preserve">Domínio: Web
Ecossistema: React
Linguagens: JavaScript
Match (requisitos do projeto):
DOM: M (0/1)[] S (1/1)[web] C (0/1)[]
ECO: M (0/2)[] S (1/1)[react] C (0/1)[]
LING: M (0/2)[] S (1/2)[javascript] C (0/2)[]
Colaboração (somente com membros desta equipe):
503-270: SEM_COMUM
503-411: SEM_COMUM
503-479: SEM_COMUM</t>
      </text>
    </comment>
    <comment authorId="0" ref="D10">
      <text>
        <t xml:space="preserve">Domínio: Web
Ecossistema: Node.js
Linguagens: JavaScript
Match (requisitos do projeto):
DOM: M (0/1)[] S (1/1)[web] C (0/1)[]
ECO: M (0/2)[] S (0/1)[] C (0/1)[]
LING: M (0/2)[] S (1/2)[javascript] C (0/2)[]
Colaboração (somente com membros desta equipe):
115-119: SEM_COMUM
115-193: SEM_COMUM
115-399: SEM_COMUM</t>
      </text>
    </comment>
    <comment authorId="0" ref="E10">
      <text>
        <t xml:space="preserve">Domínio: Mobile
Ecossistema: iOS/iPadOS
Linguagens: Swift
Match (requisitos do projeto):
DOM: M (1/1)[mobile] S (0/1)[] C (0/1)[]
ECO: M (1/2)[ios/ipados] S (0/1)[] C (0/1)[]
LING: M (1/2)[swift] S (0/2)[] C (0/2)[]
Colaboração (somente com membros desta equipe):
119-115: SEM_COMUM
119-193: P82(,osf=0.567,slf=0.737) | 119-399: P82(,osf=0.567,slf=0.737)
119-399: SEM_COMUM</t>
      </text>
    </comment>
    <comment authorId="0" ref="F10">
      <text>
        <t xml:space="preserve">Domínio: Desktop
Ecossistema: .NET
Linguagens: C#
Match (requisitos do projeto):
DOM: M (0/1)[] S (0/1)[] C (0/1)[]
ECO: M (0/2)[] S (0/1)[] C (1/1)[.net]
LING: M (0/2)[] S (0/2)[] C (1/2)[c#]
Colaboração (somente com membros desta equipe):
399-115: SEM_COMUM
399-119: P82(,osf=0.567,slf=0.737) | 399-193: P82(,osf=0.567,slf=0.737); P85(,osf=0.784,slf=0.538)
399-193: SEM_COMUM</t>
      </text>
    </comment>
    <comment authorId="0" ref="G10">
      <text>
        <t xml:space="preserve">Domínio: Web
Ecossistema: Spring Boot
Linguagens: Java
Match (requisitos do projeto):
DOM: M (0/1)[] S (1/1)[web] C (0/1)[]
ECO: M (0/2)[] S (0/1)[] C (0/1)[]
LING: M (0/2)[] S (0/2)[] C (1/2)[java]
Colaboração (somente com membros desta equipe):
193-115: SEM_COMUM
193-119: SEM_COMUM
193-399: SEM_COMUM</t>
      </text>
    </comment>
    <comment authorId="0" ref="D11">
      <text>
        <t xml:space="preserve">Domínio: Cloud
Ecossistema: AWS Lambda
Linguagens: Python
Match (requisitos do projeto):
DOM: M (0/1)[] S (0/1)[] C (1/1)[cloud]
ECO: M (0/2)[] S (0/1)[] C (0/1)[]
LING: M (0/2)[] S (0/2)[] C (0/2)[]
Colaboração (somente com membros desta equipe):
468-5: P82(,osf=0.567,slf=0.737) | 468-508: P196(,osf=0.888,slf=0.339) | 468-516: P82(,osf=0.567,slf=0.737); P85(,osf=0.784,slf=0.538)
468-263: SEM_COMUM
468-503: SEM_COMUM</t>
      </text>
    </comment>
    <comment authorId="0" ref="E11">
      <text>
        <t xml:space="preserve">Domínio: Web
Ecossistema: Vue
Linguagens: JavaScript
Match (requisitos do projeto):
DOM: M (0/1)[] S (1/1)[web] C (0/1)[]
ECO: M (0/2)[] S (0/1)[] C (0/1)[]
LING: M (0/2)[] S (1/2)[javascript] C (0/2)[]
Colaboração (somente com membros desta equipe):
263-5: P179(,osf=0.489,slf=0.711) | 263-145: P179(,osf=0.489,slf=0.711); P201(,osf=0.535,slf=0.596)
263-468: SEM_COMUM
263-503: SEM_COMUM</t>
      </text>
    </comment>
    <comment authorId="0" ref="F11">
      <text>
        <t xml:space="preserve">Domínio: Web
Ecossistema: React
Linguagens: JavaScript
Match (requisitos do projeto):
DOM: M (0/1)[] S (1/1)[web] C (0/1)[]
ECO: M (0/2)[] S (1/1)[react] C (0/1)[]
LING: M (0/2)[] S (1/2)[javascript] C (0/2)[]
Colaboração (somente com membros desta equipe):
503-5: P145(,osf=0.612,slf=0.871); P177(,osf=0.340,slf=0.621); P213(,osf=0.312,slf=0.608); P216(,osf=0.401,slf=0.341); P279(,osf=0.594,slf=0.422) | 503-411: P145(,osf=0.612,slf=0.871); P177(,osf=0.340,slf=0.621); P284(,osf=0.383,slf=0.553)
503-263: SEM_COMUM
503-468: SEM_COMUM</t>
      </text>
    </comment>
    <comment authorId="0" ref="G11">
      <text>
        <t xml:space="preserve">Domínio: Mobile
Ecossistema: Android
Linguagens: Kotlin
Match (requisitos do projeto):
DOM: M (1/1)[mobile] S (0/1)[] C (0/1)[]
ECO: M (1/2)[android] S (0/1)[] C (0/1)[]
LING: M (1/2)[kotlin] S (0/2)[] C (0/2)[]
Colaboração (somente com membros desta equipe):
5-263: P179(,osf=0.489,slf=0.711) | 5-468: P82(,osf=0.567,slf=0.737) | 5-503: P145(,osf=0.612,slf=0.871); P177(,osf=0.340,slf=0.621); P213(,osf=0.312,slf=0.608); P216(,osf=0.401,slf=0.341); P279(,osf=0.594,slf=0.422)
5-468: SEM_COMUM
5-503: SEM_COMUM</t>
      </text>
    </comment>
    <comment authorId="0" ref="D12">
      <text>
        <t xml:space="preserve">Domínio: Mobile
Ecossistema: Android
Linguagens: Kotlin
Match (requisitos do projeto):
DOM: M (1/1)[mobile] S (0/1)[] C (0/1)[]
ECO: M (1/2)[android] S (0/1)[] C (0/1)[]
LING: M (1/2)[kotlin] S (0/2)[] C (0/2)[]
Colaboração (somente com membros desta equipe):
104-81: P69(,osf=0.478,slf=0.301)
104-363: SEM_COMUM
104-544: SEM_COMUM</t>
      </text>
    </comment>
    <comment authorId="0" ref="E12">
      <text>
        <t xml:space="preserve">Domínio: Mobile
Ecossistema: iOS/iPadOS
Linguagens: Swift
Match (requisitos do projeto):
DOM: M (1/1)[mobile] S (0/1)[] C (0/1)[]
ECO: M (1/2)[ios/ipados] S (0/1)[] C (0/1)[]
LING: M (1/2)[swift] S (0/2)[] C (0/2)[]
Colaboração (somente com membros desta equipe):
363-81: SEM_COMUM
363-104: SEM_COMUM
363-544: SEM_COMUM</t>
      </text>
    </comment>
    <comment authorId="0" ref="F12">
      <text>
        <t xml:space="preserve">Domínio: Mobile
Ecossistema: iOS/iPadOS
Linguagens: Swift
Match (requisitos do projeto):
DOM: M (1/1)[mobile] S (0/1)[] C (0/1)[]
ECO: M (1/2)[ios/ipados] S (0/1)[] C (0/1)[]
LING: M (1/2)[swift] S (0/2)[] C (0/2)[]
Colaboração (somente com membros desta equipe):
544-81: SEM_COMUM
544-104: SEM_COMUM
544-363: SEM_COMUM</t>
      </text>
    </comment>
    <comment authorId="0" ref="G12">
      <text>
        <t xml:space="preserve">Domínio: IoT
Ecossistema: nan
Linguagens: JavaScript
Match (requisitos do projeto):
DOM: M (0/1)[] S (0/1)[] C (0/1)[]
ECO: M (0/2)[] S (0/1)[] C (0/1)[]
LING: M (0/2)[] S (1/2)[javascript] C (0/2)[]
Colaboração (somente com membros desta equipe):
81-104: P69(,osf=0.478,slf=0.301)
81-363: SEM_COMUM
81-544: SEM_COMUM</t>
      </text>
    </comment>
    <comment authorId="0" ref="A14">
      <text>
        <t xml:space="preserve">"DOM  M[IoT, Cloud] S[Web] C[Desktop]
ECO  M[AWS Lambda] S[React, Angular, MongoDB] C[Android]
LING M[Python, C++] S[JavaScript] C[Java, TypeScript]"
</t>
      </text>
    </comment>
    <comment authorId="0" ref="D14">
      <text>
        <t xml:space="preserve">Domínio: Web
Ecossistema: React
Linguagens: JavaScript
Match (requisitos do projeto):
DOM: M (0/2)[] S (1/1)[web] C (0/1)[]
ECO: M (0/1)[] S (1/3)[react] C (0/1)[]
LING: M (0/2)[] S (1/1)[javascript] C (0/2)[]
Colaboração (somente com membros desta equipe):
423-391: SEM_COMUM
423-494: SEM_COMUM
423-558: P85(,osf=0.784,slf=0.538)</t>
      </text>
    </comment>
    <comment authorId="0" ref="E14">
      <text>
        <t xml:space="preserve">Domínio: Mobile
Ecossistema: Android
Linguagens: Kotlin
Match (requisitos do projeto):
DOM: M (0/2)[] S (0/1)[] C (0/1)[]
ECO: M (0/1)[] S (0/3)[] C (1/1)[android]
LING: M (0/2)[] S (0/1)[] C (0/2)[]
Colaboração (somente com membros desta equipe):
558-391: SEM_COMUM
558-423: SEM_COMUM
558-494: SEM_COMUM</t>
      </text>
    </comment>
    <comment authorId="0" ref="F14">
      <text>
        <t xml:space="preserve">Domínio: Cloud
Ecossistema: AWS Lambda
Linguagens: Python
Match (requisitos do projeto):
DOM: M (1/2)[cloud] S (0/1)[] C (0/1)[]
ECO: M (1/1)[aws lambda] S (0/3)[] C (0/1)[]
LING: M (1/2)[python] S (0/1)[] C (0/2)[]
Colaboração (somente com membros desta equipe):
494-391: SEM_COMUM
494-423: SEM_COMUM
494-558: SEM_COMUM</t>
      </text>
    </comment>
    <comment authorId="0" ref="G14">
      <text>
        <t xml:space="preserve">Domínio: Cloud
Ecossistema: AWS Lambda
Linguagens: Python
Match (requisitos do projeto):
DOM: M (1/2)[cloud] S (0/1)[] C (0/1)[]
ECO: M (1/1)[aws lambda] S (0/3)[] C (0/1)[]
LING: M (1/2)[python] S (0/1)[] C (0/2)[]
Colaboração (somente com membros desta equipe):
391-423: SEM_COMUM
391-494: SEM_COMUM
391-558: SEM_COMUM</t>
      </text>
    </comment>
    <comment authorId="0" ref="D15">
      <text>
        <t xml:space="preserve">Domínio: Mobile
Ecossistema: Android
Linguagens: Kotlin
Match (requisitos do projeto):
DOM: M (0/2)[] S (0/1)[] C (0/1)[]
ECO: M (0/1)[] S (0/3)[] C (1/1)[android]
LING: M (0/2)[] S (0/1)[] C (0/2)[]
Colaboração (somente com membros desta equipe):
104-152: SEM_COMUM
104-446: SEM_COMUM
104-465: SEM_COMUM</t>
      </text>
    </comment>
    <comment authorId="0" ref="E15">
      <text>
        <t xml:space="preserve">Domínio: Mobile
Ecossistema: Android
Linguagens: Kotlin
Match (requisitos do projeto):
DOM: M (0/2)[] S (0/1)[] C (0/1)[]
ECO: M (0/1)[] S (0/3)[] C (1/1)[android]
LING: M (0/2)[] S (0/1)[] C (0/2)[]
Colaboração (somente com membros desta equipe):
446-104: SEM_COMUM
446-152: SEM_COMUM
446-465: SEM_COMUM</t>
      </text>
    </comment>
    <comment authorId="0" ref="F15">
      <text>
        <t xml:space="preserve">Domínio: Web
Ecossistema: React
Linguagens: JavaScript
Match (requisitos do projeto):
DOM: M (0/2)[] S (1/1)[web] C (0/1)[]
ECO: M (0/1)[] S (1/3)[react] C (0/1)[]
LING: M (0/2)[] S (1/1)[javascript] C (0/2)[]
Colaboração (somente com membros desta equipe):
152-104: SEM_COMUM
152-446: SEM_COMUM
152-465: SEM_COMUM</t>
      </text>
    </comment>
    <comment authorId="0" ref="G15">
      <text>
        <t xml:space="preserve">Domínio: Web
Ecossistema: Spring Boot
Linguagens: Java
Match (requisitos do projeto):
DOM: M (0/2)[] S (1/1)[web] C (0/1)[]
ECO: M (0/1)[] S (0/3)[] C (0/1)[]
LING: M (0/2)[] S (0/1)[] C (1/2)[java]
Colaboração (somente com membros desta equipe):
465-104: SEM_COMUM
465-152: SEM_COMUM
465-446: SEM_COMUM</t>
      </text>
    </comment>
    <comment authorId="0" ref="D16">
      <text>
        <t xml:space="preserve">Domínio: Web
Ecossistema: React
Linguagens: JavaScript
Match (requisitos do projeto):
DOM: M (0/2)[] S (1/1)[web] C (0/1)[]
ECO: M (0/1)[] S (1/3)[react] C (0/1)[]
LING: M (0/2)[] S (1/1)[javascript] C (0/2)[]
Colaboração (somente com membros desta equipe):
362-161: SEM_COMUM
362-242: SEM_COMUM
362-450: SEM_COMUM</t>
      </text>
    </comment>
    <comment authorId="0" ref="E16">
      <text>
        <t xml:space="preserve">Domínio: Web
Ecossistema: Node.js
Linguagens: JavaScript
Match (requisitos do projeto):
DOM: M (0/2)[] S (1/1)[web] C (0/1)[]
ECO: M (0/1)[] S (0/3)[] C (0/1)[]
LING: M (0/2)[] S (1/1)[javascript] C (0/2)[]
Colaboração (somente com membros desta equipe):
242-161: SEM_COMUM
242-362: SEM_COMUM
242-450: SEM_COMUM</t>
      </text>
    </comment>
    <comment authorId="0" ref="F16">
      <text>
        <t xml:space="preserve">Domínio: Desktop
Ecossistema: .NET
Linguagens: C#
Match (requisitos do projeto):
DOM: M (0/2)[] S (0/1)[] C (1/1)[desktop]
ECO: M (0/1)[] S (0/3)[] C (0/1)[]
LING: M (0/2)[] S (0/1)[] C (0/2)[]
Colaboração (somente com membros desta equipe):
450-161: SEM_COMUM
450-242: SEM_COMUM
450-362: SEM_COMUM</t>
      </text>
    </comment>
    <comment authorId="0" ref="G16">
      <text>
        <t xml:space="preserve">Domínio: nan
Ecossistema: nan
Linguagens: JavaScript
Match (requisitos do projeto):
DOM: M (0/2)[] S (0/1)[] C (0/1)[]
ECO: M (0/1)[] S (0/3)[] C (0/1)[]
LING: M (0/2)[] S (1/1)[javascript] C (0/2)[]
Colaboração (somente com membros desta equipe):
161-242: SEM_COMUM
161-362: SEM_COMUM
161-450: SEM_COMUM</t>
      </text>
    </comment>
    <comment authorId="0" ref="D17">
      <text>
        <t xml:space="preserve">Domínio: Web
Ecossistema: React
Linguagens: JavaScript
Match (requisitos do projeto):
DOM: M (0/2)[] S (1/1)[web] C (0/1)[]
ECO: M (0/1)[] S (1/3)[react] C (0/1)[]
LING: M (0/2)[] S (1/1)[javascript] C (0/2)[]
Colaboração (somente com membros desta equipe):
362-354: SEM_COMUM
362-458: SEM_COMUM
362-495: SEM_COMUM</t>
      </text>
    </comment>
    <comment authorId="0" ref="E17">
      <text>
        <t xml:space="preserve">Domínio: Web
Ecossistema: Node.js
Linguagens: JavaScript
Match (requisitos do projeto):
DOM: M (0/2)[] S (1/1)[web] C (0/1)[]
ECO: M (0/1)[] S (0/3)[] C (0/1)[]
LING: M (0/2)[] S (1/1)[javascript] C (0/2)[]
Colaboração (somente com membros desta equipe):
354-362: SEM_COMUM
354-458: SEM_COMUM
354-495: SEM_COMUM</t>
      </text>
    </comment>
    <comment authorId="0" ref="F17">
      <text>
        <t xml:space="preserve">Domínio: Web
Ecossistema: Spring Boot
Linguagens: Java
Match (requisitos do projeto):
DOM: M (0/2)[] S (1/1)[web] C (0/1)[]
ECO: M (0/1)[] S (0/3)[] C (0/1)[]
LING: M (0/2)[] S (0/1)[] C (1/2)[java]
Colaboração (somente com membros desta equipe):
495-354: SEM_COMUM
495-362: SEM_COMUM
495-458: SEM_COMUM</t>
      </text>
    </comment>
    <comment authorId="0" ref="G17">
      <text>
        <t xml:space="preserve">Domínio: Mobile
Ecossistema: iOS/iPadOS
Linguagens: Swift
Match (requisitos do projeto):
DOM: M (0/2)[] S (0/1)[] C (0/1)[]
ECO: M (0/1)[] S (0/3)[] C (0/1)[]
LING: M (0/2)[] S (0/1)[] C (0/2)[]
Colaboração (somente com membros desta equipe):
458-354: SEM_COMUM
458-362: SEM_COMUM
458-495: SEM_COMUM</t>
      </text>
    </comment>
    <comment authorId="0" ref="D18">
      <text>
        <t xml:space="preserve">Domínio: Web
Ecossistema: React
Linguagens: JavaScript
Match (requisitos do projeto):
DOM: M (0/2)[] S (1/1)[web] C (0/1)[]
ECO: M (0/1)[] S (1/3)[react] C (0/1)[]
LING: M (0/2)[] S (1/1)[javascript] C (0/2)[]
Colaboração (somente com membros desta equipe):
439-16: SEM_COMUM
439-209: SEM_COMUM
439-463: SEM_COMUM</t>
      </text>
    </comment>
    <comment authorId="0" ref="E18">
      <text>
        <t xml:space="preserve">Domínio: nan
Ecossistema: iOS/iPadOS
Linguagens: nan
Match (requisitos do projeto):
DOM: M (0/2)[] S (0/1)[] C (0/1)[]
ECO: M (0/1)[] S (0/3)[] C (0/1)[]
LING: M (0/2)[] S (0/1)[] C (0/2)[]
Colaboração (somente com membros desta equipe):
16-209: SEM_COMUM
16-439: SEM_COMUM
16-463: SEM_COMUM</t>
      </text>
    </comment>
    <comment authorId="0" ref="F18">
      <text>
        <t xml:space="preserve">Domínio: Web
Ecossistema: Node.js
Linguagens: JavaScript
Match (requisitos do projeto):
DOM: M (0/2)[] S (1/1)[web] C (0/1)[]
ECO: M (0/1)[] S (0/3)[] C (0/1)[]
LING: M (0/2)[] S (1/1)[javascript] C (0/2)[]
Colaboração (somente com membros desta equipe):
209-16: SEM_COMUM
209-439: SEM_COMUM
209-463: SEM_COMUM</t>
      </text>
    </comment>
    <comment authorId="0" ref="G18">
      <text>
        <t xml:space="preserve">Domínio: Web
Ecossistema: Vue
Linguagens: JavaScript
Match (requisitos do projeto):
DOM: M (0/2)[] S (1/1)[web] C (0/1)[]
ECO: M (0/1)[] S (0/3)[] C (0/1)[]
LING: M (0/2)[] S (1/1)[javascript] C (0/2)[]
Colaboração (somente com membros desta equipe):
463-16: SEM_COMUM
463-209: SEM_COMUM
463-439: SEM_COMUM</t>
      </text>
    </comment>
    <comment authorId="0" ref="A20">
      <text>
        <t xml:space="preserve">"DOM  M[Web] S[Cloud] C[Desktop]
ECO  M[MongoDB] S[Angular, React] C[AWS Lambda]
LING M[JavaScript] S[TypeScript, Python] C[Java, C#]"
</t>
      </text>
    </comment>
    <comment authorId="0" ref="D20">
      <text>
        <t xml:space="preserve">Domínio: Web
Ecossistema: Vue
Linguagens: JavaScript
Match (requisitos do projeto):
DOM: M (1/1)[web] S (0/1)[] C (0/1)[]
ECO: M (0/1)[] S (0/2)[] C (0/1)[]
LING: M (1/1)[javascript] S (0/2)[] C (0/2)[]
Colaboração (somente com membros desta equipe):
263-241: SEM_COMUM
263-303: SEM_COMUM
263-548: SEM_COMUM</t>
      </text>
    </comment>
    <comment authorId="0" ref="E20">
      <text>
        <t xml:space="preserve">Domínio: Web
Ecossistema: Node.js
Linguagens: JavaScript
Match (requisitos do projeto):
DOM: M (1/1)[web] S (0/1)[] C (0/1)[]
ECO: M (0/1)[] S (0/2)[] C (0/1)[]
LING: M (1/1)[javascript] S (0/2)[] C (0/2)[]
Colaboração (somente com membros desta equipe):
241-263: SEM_COMUM
241-303: SEM_COMUM
241-548: SEM_COMUM</t>
      </text>
    </comment>
    <comment authorId="0" ref="F20">
      <text>
        <t xml:space="preserve">Domínio: Desktop
Ecossistema: .NET
Linguagens: C#
Match (requisitos do projeto):
DOM: M (0/1)[] S (0/1)[] C (1/1)[desktop]
ECO: M (0/1)[] S (0/2)[] C (0/1)[]
LING: M (0/1)[] S (0/2)[] C (1/2)[c#]
Colaboração (somente com membros desta equipe):
303-241: SEM_COMUM
303-263: SEM_COMUM
303-548: SEM_COMUM</t>
      </text>
    </comment>
    <comment authorId="0" ref="G20">
      <text>
        <t xml:space="preserve">Domínio: Mobile
Ecossistema: iOS/iPadOS
Linguagens: Swift
Match (requisitos do projeto):
DOM: M (0/1)[] S (0/1)[] C (0/1)[]
ECO: M (0/1)[] S (0/2)[] C (0/1)[]
LING: M (0/1)[] S (0/2)[] C (0/2)[]
Colaboração (somente com membros desta equipe):
548-241: SEM_COMUM
548-263: SEM_COMUM
548-303: SEM_COMUM</t>
      </text>
    </comment>
    <comment authorId="0" ref="D21">
      <text>
        <t xml:space="preserve">Domínio: IoT, Web
Ecossistema: iOS/iPadOS
Linguagens: JSON, JavaScript
Match (requisitos do projeto):
DOM: M (1/1)[web] S (0/1)[] C (0/1)[]
ECO: M (0/1)[] S (0/2)[] C (0/1)[]
LING: M (1/1)[javascript] S (0/2)[] C (0/2)[]
Colaboração (somente com membros desta equipe):
145-38: SEM_COMUM
145-225: SEM_COMUM
145-263: P179(,osf=0.489,slf=0.711); P201(,osf=0.535,slf=0.596)</t>
      </text>
    </comment>
    <comment authorId="0" ref="E21">
      <text>
        <t xml:space="preserve">Domínio: Web
Ecossistema: iOS/iPadOS
Linguagens: nan
Match (requisitos do projeto):
DOM: M (1/1)[web] S (0/1)[] C (0/1)[]
ECO: M (0/1)[] S (0/2)[] C (0/1)[]
LING: M (0/1)[] S (0/2)[] C (0/2)[]
Colaboração (somente com membros desta equipe):
38-145: SEM_COMUM
38-225: P82(,osf=0.567,slf=0.737)
38-263: SEM_COMUM</t>
      </text>
    </comment>
    <comment authorId="0" ref="F21">
      <text>
        <t xml:space="preserve">Domínio: Web
Ecossistema: React
Linguagens: JavaScript
Match (requisitos do projeto):
DOM: M (1/1)[web] S (0/1)[] C (0/1)[]
ECO: M (0/1)[] S (1/2)[react] C (0/1)[]
LING: M (1/1)[javascript] S (0/2)[] C (0/2)[]
Colaboração (somente com membros desta equipe):
225-38: P82(,osf=0.567,slf=0.737)
225-145: SEM_COMUM
225-263: SEM_COMUM</t>
      </text>
    </comment>
    <comment authorId="0" ref="G21">
      <text>
        <t xml:space="preserve">Domínio: Web
Ecossistema: Vue
Linguagens: JavaScript
Match (requisitos do projeto):
DOM: M (1/1)[web] S (0/1)[] C (0/1)[]
ECO: M (0/1)[] S (0/2)[] C (0/1)[]
LING: M (1/1)[javascript] S (0/2)[] C (0/2)[]
Colaboração (somente com membros desta equipe):
263-38: SEM_COMUM
263-145: SEM_COMUM
263-225: SEM_COMUM</t>
      </text>
    </comment>
    <comment authorId="0" ref="D22">
      <text>
        <t xml:space="preserve">Domínio: Web
Ecossistema: Spring Boot
Linguagens: Java
Match (requisitos do projeto):
DOM: M (1/1)[web] S (0/1)[] C (0/1)[]
ECO: M (0/1)[] S (0/2)[] C (0/1)[]
LING: M (0/1)[] S (0/2)[] C (1/2)[java]
Colaboração (somente com membros desta equipe):
193-7: P82(,osf=0.567,slf=0.737); P85(,osf=0.784,slf=0.538) | 193-119: P82(,osf=0.567,slf=0.737) | 193-194: P82(,osf=0.567,slf=0.737); P85(,osf=0.784,slf=0.538) | 193-399: P82(,osf=0.567,slf=0.737); P85(,osf=0.784,slf=0.538)
193-154: SEM_COMUM
193-194: SEM_COMUM</t>
      </text>
    </comment>
    <comment authorId="0" ref="E22">
      <text>
        <t xml:space="preserve">Domínio: Mobile
Ecossistema: Android
Linguagens: Kotlin
Match (requisitos do projeto):
DOM: M (0/1)[] S (0/1)[] C (0/1)[]
ECO: M (0/1)[] S (0/2)[] C (0/1)[]
LING: M (0/1)[] S (0/2)[] C (0/2)[]
Colaboração (somente com membros desta equipe):
194-7: P40(,osf=0.733,slf=0.373); P82(,osf=0.567,slf=0.737); P85(,osf=0.784,slf=0.538) | 194-193: P82(,osf=0.567,slf=0.737); P85(,osf=0.784,slf=0.538)
194-154: SEM_COMUM
194-193: SEM_COMUM</t>
      </text>
    </comment>
    <comment authorId="0" ref="F22">
      <text>
        <t xml:space="preserve">Domínio: Web
Ecossistema: React
Linguagens: JavaScript
Match (requisitos do projeto):
DOM: M (1/1)[web] S (0/1)[] C (0/1)[]
ECO: M (0/1)[] S (1/2)[react] C (0/1)[]
LING: M (1/1)[javascript] S (0/2)[] C (0/2)[]
Colaboração (somente com membros desta equipe):
7-154: SEM_COMUM
7-193: P82(,osf=0.567,slf=0.737); P85(,osf=0.784,slf=0.538) | 7-194: P40(,osf=0.733,slf=0.373); P82(,osf=0.567,slf=0.737); P85(,osf=0.784,slf=0.538)
7-194: SEM_COMUM</t>
      </text>
    </comment>
    <comment authorId="0" ref="G22">
      <text>
        <t xml:space="preserve">Domínio: Cloud
Ecossistema: AWS Lambda
Linguagens: Python
Match (requisitos do projeto):
DOM: M (0/1)[] S (1/1)[cloud] C (0/1)[]
ECO: M (0/1)[] S (0/2)[] C (1/1)[aws lambda]
LING: M (0/1)[] S (1/2)[python] C (0/2)[]
Colaboração (somente com membros desta equipe):
154-7: SEM_COMUM
154-193: SEM_COMUM
154-194: SEM_COMUM</t>
      </text>
    </comment>
    <comment authorId="0" ref="D23">
      <text>
        <t xml:space="preserve">Domínio: Cloud
Ecossistema: AWS Lambda
Linguagens: Python
Match (requisitos do projeto):
DOM: M (0/1)[] S (1/1)[cloud] C (0/1)[]
ECO: M (0/1)[] S (0/2)[] C (1/1)[aws lambda]
LING: M (0/1)[] S (1/2)[python] C (0/2)[]
Colaboração (somente com membros desta equipe):
438-104: SEM_COMUM
438-270: P82(,osf=0.567,slf=0.737) | 438-293: P124(,osf=0.678,slf=0.507); P152(,osf=0.337,slf=0.880) | 438-558: P85(,osf=0.784,slf=0.538)
438-293: SEM_COMUM</t>
      </text>
    </comment>
    <comment authorId="0" ref="E23">
      <text>
        <t xml:space="preserve">Domínio: Web
Ecossistema: Angular
Linguagens: TypeScript
Match (requisitos do projeto):
DOM: M (1/1)[web] S (0/1)[] C (0/1)[]
ECO: M (0/1)[] S (1/2)[angular] C (0/1)[]
LING: M (0/1)[] S (1/2)[typescript] C (0/2)[]
Colaboração (somente com membros desta equipe):
270-104: SEM_COMUM
270-293: SEM_COMUM
270-438: SEM_COMUM</t>
      </text>
    </comment>
    <comment authorId="0" ref="F23">
      <text>
        <t xml:space="preserve">Domínio: Mobile
Ecossistema: Android
Linguagens: Kotlin
Match (requisitos do projeto):
DOM: M (0/1)[] S (0/1)[] C (0/1)[]
ECO: M (0/1)[] S (0/2)[] C (0/1)[]
LING: M (0/1)[] S (0/2)[] C (0/2)[]
Colaboração (somente com membros desta equipe):
104-270: SEM_COMUM
104-293: SEM_COMUM
104-438: SEM_COMUM</t>
      </text>
    </comment>
    <comment authorId="0" ref="G23">
      <text>
        <t xml:space="preserve">Domínio: Web
Ecossistema: Angular
Linguagens: TypeScript
Match (requisitos do projeto):
DOM: M (1/1)[web] S (0/1)[] C (0/1)[]
ECO: M (0/1)[] S (1/2)[angular] C (0/1)[]
LING: M (0/1)[] S (1/2)[typescript] C (0/2)[]
Colaboração (somente com membros desta equipe):
293-104: SEM_COMUM
293-270: SEM_COMUM
293-438: P124(,osf=0.678,slf=0.507); P152(,osf=0.337,slf=0.880)</t>
      </text>
    </comment>
    <comment authorId="0" ref="D24">
      <text>
        <t xml:space="preserve">Domínio: Web
Ecossistema: Vue
Linguagens: JavaScript
Match (requisitos do projeto):
DOM: M (1/1)[web] S (0/1)[] C (0/1)[]
ECO: M (0/1)[] S (0/2)[] C (0/1)[]
LING: M (1/1)[javascript] S (0/2)[] C (0/2)[]
Colaboração (somente com membros desta equipe):
198-62: SEM_COMUM
198-415: P82(,osf=0.567,slf=0.737)
198-559: SEM_COMUM</t>
      </text>
    </comment>
    <comment authorId="0" ref="E24">
      <text>
        <t xml:space="preserve">Domínio: Web
Ecossistema: Vue
Linguagens: JavaScript
Match (requisitos do projeto):
DOM: M (1/1)[web] S (0/1)[] C (0/1)[]
ECO: M (0/1)[] S (0/2)[] C (0/1)[]
LING: M (1/1)[javascript] S (0/2)[] C (0/2)[]
Colaboração (somente com membros desta equipe):
415-62: P85(,osf=0.784,slf=0.538) | 415-198: P82(,osf=0.567,slf=0.737)
415-198: SEM_COMUM
415-559: SEM_COMUM</t>
      </text>
    </comment>
    <comment authorId="0" ref="F24">
      <text>
        <t xml:space="preserve">Domínio: nan
Ecossistema: MongoDB, iOS/iPadOS
Linguagens: nan
Match (requisitos do projeto):
DOM: M (0/1)[] S (0/1)[] C (0/1)[]
ECO: M (1/1)[mongodb] S (0/2)[] C (0/1)[]
LING: M (0/1)[] S (0/2)[] C (0/2)[]
Colaboração (somente com membros desta equipe):
62-198: SEM_COMUM
62-415: P85(,osf=0.784,slf=0.538)
62-559: SEM_COMUM</t>
      </text>
    </comment>
    <comment authorId="0" ref="G24">
      <text>
        <t xml:space="preserve">Domínio: Mobile
Ecossistema: Android
Linguagens: Kotlin
Match (requisitos do projeto):
DOM: M (0/1)[] S (0/1)[] C (0/1)[]
ECO: M (0/1)[] S (0/2)[] C (0/1)[]
LING: M (0/1)[] S (0/2)[] C (0/2)[]
Colaboração (somente com membros desta equipe):
559-62: SEM_COMUM
559-198: SEM_COMUM
559-415: SEM_COMUM</t>
      </text>
    </comment>
    <comment authorId="0" ref="D26">
      <text>
        <t xml:space="preserve">Domínio: Web
Ecossistema: Vue
Linguagens: JavaScript
Match (requisitos do projeto):
DOM: M (1/2)[web] S (0/1)[] C (0/1)[]
ECO: M (0/3)[] S (0/1)[] C (0/1)[]
LING: M (1/3)[javascript] S (0/2)[] C (0/2)[]
Colaboração (somente com membros desta equipe):
174-169: SEM_COMUM
174-265: SEM_COMUM
174-524: SEM_COMUM</t>
      </text>
    </comment>
    <comment authorId="0" ref="E26">
      <text>
        <t xml:space="preserve">Domínio: Web
Ecossistema: Spring Boot
Linguagens: Java
Match (requisitos do projeto):
DOM: M (1/2)[web] S (0/1)[] C (0/1)[]
ECO: M (0/3)[] S (0/1)[] C (0/1)[]
LING: M (0/3)[] S (1/2)[java] C (0/2)[]
Colaboração (somente com membros desta equipe):
265-169: SEM_COMUM
265-174: SEM_COMUM
265-524: SEM_COMUM</t>
      </text>
    </comment>
    <comment authorId="0" ref="F26">
      <text>
        <t xml:space="preserve">Domínio: Desktop
Ecossistema: .NET
Linguagens: C#
Match (requisitos do projeto):
DOM: M (0/2)[] S (0/1)[] C (1/1)[desktop]
ECO: M (0/3)[] S (1/1)[.net] C (0/1)[]
LING: M (0/3)[] S (1/2)[c#] C (0/2)[]
Colaboração (somente com membros desta equipe):
524-169: SEM_COMUM
524-174: SEM_COMUM
524-265: SEM_COMUM</t>
      </text>
    </comment>
    <comment authorId="0" ref="G26">
      <text>
        <t xml:space="preserve">Domínio: Web
Ecossistema: React
Linguagens: JavaScript
Match (requisitos do projeto):
DOM: M (1/2)[web] S (0/1)[] C (0/1)[]
ECO: M (1/3)[react] S (0/1)[] C (0/1)[]
LING: M (1/3)[javascript] S (0/2)[] C (0/2)[]
Colaboração (somente com membros desta equipe):
169-174: SEM_COMUM
169-265: SEM_COMUM
169-524: SEM_COMUM</t>
      </text>
    </comment>
    <comment authorId="0" ref="D27">
      <text>
        <t xml:space="preserve">Domínio: Cloud
Ecossistema: AWS Lambda
Linguagens: Python
Match (requisitos do projeto):
DOM: M (1/2)[cloud] S (0/1)[] C (0/1)[]
ECO: M (1/3)[aws lambda] S (0/1)[] C (0/1)[]
LING: M (1/3)[python] S (0/2)[] C (0/2)[]
Colaboração (somente com membros desta equipe):
438-297: SEM_COMUM
438-461: SEM_COMUM
438-558: SEM_COMUM</t>
      </text>
    </comment>
    <comment authorId="0" ref="E27">
      <text>
        <t xml:space="preserve">Domínio: Mobile
Ecossistema: Android
Linguagens: Kotlin
Match (requisitos do projeto):
DOM: M (0/2)[] S (1/1)[mobile] C (0/1)[]
ECO: M (0/3)[] S (0/1)[] C (1/1)[android]
LING: M (0/3)[] S (0/2)[] C (1/2)[kotlin]
Colaboração (somente com membros desta equipe):
558-297: SEM_COMUM
558-438: P85(,osf=0.784,slf=0.538) | 558-461: P183(,osf=0.476,slf=0.842); P184(,osf=0.615,slf=0.450); P188(,osf=0.655,slf=0.631); P219(,osf=0.351,slf=0.534); P269(,osf=0.400,slf=0.408); P274(,osf=0.411,slf=0.591)
558-461: SEM_COMUM</t>
      </text>
    </comment>
    <comment authorId="0" ref="F27">
      <text>
        <t xml:space="preserve">Domínio: Web
Ecossistema: React
Linguagens: JavaScript
Match (requisitos do projeto):
DOM: M (1/2)[web] S (0/1)[] C (0/1)[]
ECO: M (1/3)[react] S (0/1)[] C (0/1)[]
LING: M (1/3)[javascript] S (0/2)[] C (0/2)[]
Colaboração (somente com membros desta equipe):
461-297: SEM_COMUM
461-438: SEM_COMUM
461-558: P183(,osf=0.476,slf=0.842); P184(,osf=0.615,slf=0.450); P188(,osf=0.655,slf=0.631); P219(,osf=0.351,slf=0.534); P269(,osf=0.400,slf=0.408); P274(,osf=0.411,slf=0.591)</t>
      </text>
    </comment>
    <comment authorId="0" ref="G27">
      <text>
        <t xml:space="preserve">Domínio: Web
Ecossistema: Node.js
Linguagens: JavaScript
Match (requisitos do projeto):
DOM: M (1/2)[web] S (0/1)[] C (0/1)[]
ECO: M (0/3)[] S (0/1)[] C (0/1)[]
LING: M (1/3)[javascript] S (0/2)[] C (0/2)[]
Colaboração (somente com membros desta equipe):
297-438: SEM_COMUM
297-461: SEM_COMUM
297-558: SEM_COMUM</t>
      </text>
    </comment>
    <comment authorId="0" ref="D28">
      <text>
        <t xml:space="preserve">Domínio: Mobile
Ecossistema: Android
Linguagens: Kotlin
Match (requisitos do projeto):
DOM: M (0/2)[] S (1/1)[mobile] C (0/1)[]
ECO: M (0/3)[] S (0/1)[] C (1/1)[android]
LING: M (0/3)[] S (0/2)[] C (1/2)[kotlin]
Colaboração (somente com membros desta equipe):
324-250: SEM_COMUM
324-370: SEM_COMUM
324-439: SEM_COMUM</t>
      </text>
    </comment>
    <comment authorId="0" ref="E28">
      <text>
        <t xml:space="preserve">Domínio: Web
Ecossistema: React
Linguagens: JavaScript
Match (requisitos do projeto):
DOM: M (1/2)[web] S (0/1)[] C (0/1)[]
ECO: M (1/3)[react] S (0/1)[] C (0/1)[]
LING: M (1/3)[javascript] S (0/2)[] C (0/2)[]
Colaboração (somente com membros desta equipe):
439-250: SEM_COMUM
439-324: SEM_COMUM
439-370: SEM_COMUM</t>
      </text>
    </comment>
    <comment authorId="0" ref="F28">
      <text>
        <t xml:space="preserve">Domínio: Mobile
Ecossistema: iOS/iPadOS
Linguagens: Swift
Match (requisitos do projeto):
DOM: M (0/2)[] S (1/1)[mobile] C (0/1)[]
ECO: M (0/3)[] S (0/1)[] C (0/1)[]
LING: M (0/3)[] S (0/2)[] C (1/2)[swift]
Colaboração (somente com membros desta equipe):
370-250: SEM_COMUM
370-324: SEM_COMUM
370-439: SEM_COMUM</t>
      </text>
    </comment>
    <comment authorId="0" ref="G28">
      <text>
        <t xml:space="preserve">Domínio: Cloud
Ecossistema: AWS Lambda
Linguagens: Python
Match (requisitos do projeto):
DOM: M (1/2)[cloud] S (0/1)[] C (0/1)[]
ECO: M (1/3)[aws lambda] S (0/1)[] C (0/1)[]
LING: M (1/3)[python] S (0/2)[] C (0/2)[]
Colaboração (somente com membros desta equipe):
250-324: SEM_COMUM
250-370: SEM_COMUM
250-439: SEM_COMUM</t>
      </text>
    </comment>
    <comment authorId="0" ref="D29">
      <text>
        <t xml:space="preserve">Domínio: Mobile
Ecossistema: iOS/iPadOS
Linguagens: Swift
Match (requisitos do projeto):
DOM: M (0/2)[] S (1/1)[mobile] C (0/1)[]
ECO: M (0/3)[] S (0/1)[] C (0/1)[]
LING: M (0/3)[] S (0/2)[] C (1/2)[swift]
Colaboração (somente com membros desta equipe):
331-36: SEM_COMUM
331-181: SEM_COMUM
331-494: SEM_COMUM</t>
      </text>
    </comment>
    <comment authorId="0" ref="E29">
      <text>
        <t xml:space="preserve">Domínio: Mobile
Ecossistema: Android
Linguagens: Kotlin
Match (requisitos do projeto):
DOM: M (0/2)[] S (1/1)[mobile] C (0/1)[]
ECO: M (0/3)[] S (0/1)[] C (1/1)[android]
LING: M (0/3)[] S (0/2)[] C (1/2)[kotlin]
Colaboração (somente com membros desta equipe):
36-181: P82(,osf=0.567,slf=0.737)
36-331: SEM_COMUM
36-494: SEM_COMUM</t>
      </text>
    </comment>
    <comment authorId="0" ref="F29">
      <text>
        <t xml:space="preserve">Domínio: Cloud
Ecossistema: AWS Lambda
Linguagens: Python
Match (requisitos do projeto):
DOM: M (1/2)[cloud] S (0/1)[] C (0/1)[]
ECO: M (1/3)[aws lambda] S (0/1)[] C (0/1)[]
LING: M (1/3)[python] S (0/2)[] C (0/2)[]
Colaboração (somente com membros desta equipe):
181-36: P82(,osf=0.567,slf=0.737)
181-331: SEM_COMUM
181-494: SEM_COMUM</t>
      </text>
    </comment>
    <comment authorId="0" ref="G29">
      <text>
        <t xml:space="preserve">Domínio: Cloud
Ecossistema: AWS Lambda
Linguagens: Python
Match (requisitos do projeto):
DOM: M (1/2)[cloud] S (0/1)[] C (0/1)[]
ECO: M (1/3)[aws lambda] S (0/1)[] C (0/1)[]
LING: M (1/3)[python] S (0/2)[] C (0/2)[]
Colaboração (somente com membros desta equipe):
494-36: SEM_COMUM
494-181: SEM_COMUM
494-331: SEM_COMUM</t>
      </text>
    </comment>
    <comment authorId="0" ref="D30">
      <text>
        <t xml:space="preserve">Domínio: Web
Ecossistema: Angular
Linguagens: TypeScript
Match (requisitos do projeto):
DOM: M (1/2)[web] S (0/1)[] C (0/1)[]
ECO: M (0/3)[] S (0/1)[] C (0/1)[]
LING: M (1/3)[typescript] S (0/2)[] C (0/2)[]
Colaboração (somente com membros desta equipe):
479-316: SEM_COMUM
479-357: SEM_COMUM
479-389: SEM_COMUM</t>
      </text>
    </comment>
    <comment authorId="0" ref="E30">
      <text>
        <t xml:space="preserve">Domínio: Mobile
Ecossistema: Android
Linguagens: Kotlin
Match (requisitos do projeto):
DOM: M (0/2)[] S (1/1)[mobile] C (0/1)[]
ECO: M (0/3)[] S (0/1)[] C (1/1)[android]
LING: M (0/3)[] S (0/2)[] C (1/2)[kotlin]
Colaboração (somente com membros desta equipe):
389-316: SEM_COMUM
389-357: SEM_COMUM
389-479: SEM_COMUM</t>
      </text>
    </comment>
    <comment authorId="0" ref="F30">
      <text>
        <t xml:space="preserve">Domínio: Web
Ecossistema: Node.js
Linguagens: JavaScript
Match (requisitos do projeto):
DOM: M (1/2)[web] S (0/1)[] C (0/1)[]
ECO: M (0/3)[] S (0/1)[] C (0/1)[]
LING: M (1/3)[javascript] S (0/2)[] C (0/2)[]
Colaboração (somente com membros desta equipe):
357-316: SEM_COMUM
357-389: SEM_COMUM
357-479: SEM_COMUM</t>
      </text>
    </comment>
    <comment authorId="0" ref="G30">
      <text>
        <t xml:space="preserve">Domínio: Web
Ecossistema: Node.js
Linguagens: JavaScript
Match (requisitos do projeto):
DOM: M (1/2)[web] S (0/1)[] C (0/1)[]
ECO: M (0/3)[] S (0/1)[] C (0/1)[]
LING: M (1/3)[javascript] S (0/2)[] C (0/2)[]
Colaboração (somente com membros desta equipe):
316-357: SEM_COMUM
316-389: SEM_COMUM
316-479: SEM_COMUM</t>
      </text>
    </comment>
    <comment authorId="0" ref="A32">
      <text>
        <t xml:space="preserve">"DOM M[Hardware, Embedded] S[IoT] C[Cloud]
ECO M[PCB, Desenvolvimento de Placa] S[Eletrônica (circuitos lógicos e analógicos)] C[Instrumentação (osciloscópio, analisador lógico), Prototipação]
LING M[C] S[C++] C[Python]"
</t>
      </text>
    </comment>
    <comment authorId="0" ref="D32">
      <text>
        <t xml:space="preserve">Domínio: IoT, Web, Embedded
Ecossistema: iOS/iPadOS, PCB, Prototipação
Linguagens: C++, Java, C
Match (requisitos do projeto):
DOM: M (1/2)[embedded] S (1/1)[iot] C (0/1)[]
ECO: M (1/2)[pcb] S (0/1)[] C (1/2)[prototipação]
LING: M (1/1)[c] S (1/1)[c++] C (0/1)[]
Colaboração (somente com membros desta equipe):
65-71: SEM_COMUM
65-63: SEM_COMUM
65-261: P11(osf=0.460,slf=0.781); P76(osf=0.821,slf=0.637); P118(osf=0.593,slf=0.504)</t>
      </text>
    </comment>
    <comment authorId="0" ref="E32">
      <text>
        <t xml:space="preserve">Domínio: IoT, Web, Hardware
Ecossistema: iOS/iPadOS, Desenvolvimento de Placa
Linguagens: HTML, JavaScript, Python, C
Match (requisitos do projeto):
DOM: M (1/2)[hardware] S (1/1)[iot] C (0/1)[]
ECO: M (1/2)[desenvolvimento de placa] S (0/1)[] C (0/2)[]
LING: M (1/1)[c] S (0/1)[] C (1/1)[python]
Colaboração (somente com membros desta equipe):
71-63: SEM_COMUM
71-65: SEM_COMUM
71-261: SEM_COMUM</t>
      </text>
    </comment>
    <comment authorId="0" ref="F32">
      <text>
        <t xml:space="preserve">Domínio: IoT
Ecossistema: Eletrônica (circuitos lógicos e analógicos)
Linguagens: Lua, Java
Match (requisitos do projeto):
DOM: M (0/2)[] S (1/1)[iot] C (0/1)[]
ECO: M (0/2)[] S (1/1)[eletrônica (circuitos lógicos e analógicos)] C (0/2)[]
LING: M (0/1)[] S (0/1)[] C (0/1)[]
Colaboração (somente com membros desta equipe):
63-71: SEM_COMUM
63-65: SEM_COMUM
63-261: SEM_COMUM</t>
      </text>
    </comment>
    <comment authorId="0" ref="G32">
      <text>
        <t xml:space="preserve">Domínio: Cloud
Ecossistema: AWS Lambda, Instrumentação (osciloscópio, analisador lógico)
Linguagens: Python
Match (requisitos do projeto):
DOM: M (0/2)[] S (0/1)[] C (1/1)[cloud]
ECO: M (0/2)[] S (0/1)[] C (1/2)[instrumentação (osciloscópio, analisador lógico)]
LING: M (0/1)[] S (0/1)[] C (1/1)[python]
Colaboração (somente com membros desta equipe):
261-71: SEM_COMUM
261-63: SEM_COMUM
261-65: P76(osf=0.821,slf=0.637); P11(osf=0.460,slf=0.781); P118(osf=0.593,slf=0.504)</t>
      </text>
    </comment>
    <comment authorId="0" ref="D33">
      <text>
        <t xml:space="preserve">Domínio: Web, Embedded
Ecossistema: React, PCB
Linguagens: JavaScript, C
Match (requisitos do projeto):
DOM: M (1/2)[embedded] S (0/1)[] C (0/1)[]
ECO: M (1/2)[pcb] S (0/1)[] C (0/2)[]
LING: M (1/1)[c] S (0/1)[] C (0/1)[]
Colaboração (somente com membros desta equipe):
508-36: SEM_COMUM
508-193: SEM_COMUM
508-335: SEM_COMUM</t>
      </text>
    </comment>
    <comment authorId="0" ref="E33">
      <text>
        <t xml:space="preserve">Domínio: Web, Hardware
Ecossistema: Spring Boot, Desenvolvimento de Placa
Linguagens: Java, C++, Python
Match (requisitos do projeto):
DOM: M (1/2)[hardware] S (0/1)[] C (0/1)[]
ECO: M (1/2)[desenvolvimento de placa] S (0/1)[] C (0/2)[]
LING: M (0/1)[] S (1/1)[c++] C (1/1)[python]
Colaboração (somente com membros desta equipe):
193-36: SEM_COMUM
193-335: SEM_COMUM
193-508: SEM_COMUM</t>
      </text>
    </comment>
    <comment authorId="0" ref="F33">
      <text>
        <t xml:space="preserve">Domínio: Mobile, IoT
Ecossistema: Android, Eletrônica (circuitos lógicos e analógicos), Prototipação
Linguagens: Kotlin, C++
Match (requisitos do projeto):
DOM: M (0/2)[] S (1/1)[iot] C (0/1)[]
ECO: M (0/2)[] S (1/1)[eletrônica (circuitos lógicos e analógicos)] C (1/2)[prototipação]
LING: M (0/1)[] S (1/1)[c++] C (0/1)[]
Colaboração (somente com membros desta equipe):
36-193: SEM_COMUM
36-335: SEM_COMUM
36-508: SEM_COMUM</t>
      </text>
    </comment>
    <comment authorId="0" ref="G33">
      <text>
        <t xml:space="preserve">Domínio: Desktop, Cloud
Ecossistema: .NET, Instrumentação (osciloscópio, analisador lógico)
Linguagens: C#, C
Match (requisitos do projeto):
DOM: M (0/2)[] S (0/1)[] C (1/1)[cloud]
ECO: M (0/2)[] S (0/1)[] C (1/2)[instrumentação (osciloscópio, analisador lógico)]
LING: M (1/1)[c] S (0/1)[] C (0/1)[]
Colaboração (somente com membros desta equipe):
335-508: P196(osf=0.888,slf=0.339)
335-193: P85(osf=0.784,slf=0.538); P82(osf=0.567,slf=0.737)
335-36: P82(osf=0.567,slf=0.737)</t>
      </text>
    </comment>
    <comment authorId="0" ref="D34">
      <text>
        <t xml:space="preserve">Domínio: Web, Embedded, Hardware
Ecossistema: Node.js, PCB
Linguagens: JavaScript, C, C++
Match (requisitos do projeto):
DOM: M (2/2)[hardware, embedded] S (0/1)[] C (0/1)[]
ECO: M (1/2)[pcb] S (0/1)[] C (0/2)[]
LING: M (1/1)[c] S (1/1)[c++] C (0/1)[]
Colaboração (somente com membros desta equipe):
242-93: SEM_COMUM
242-168: SEM_COMUM
242-446: SEM_COMUM</t>
      </text>
    </comment>
    <comment authorId="0" ref="E34">
      <text>
        <t xml:space="preserve">Domínio: Mobile, IoT
Ecossistema: Android, Eletrônica (circuitos lógicos e analógicos)
Linguagens: Kotlin
Match (requisitos do projeto):
DOM: M (0/2)[] S (1/1)[iot] C (0/1)[]
ECO: M (0/2)[] S (1/1)[eletrônica (circuitos lógicos e analógicos)] C (0/2)[]
LING: M (0/1)[] S (0/1)[] C (0/1)[]
Colaboração (somente com membros desta equipe [Dev242, Dev168, Dev446, Dev93]):
168-242: SEM_COMUM
168-446: SEM_COMUM
168-93: SEM_COMUM</t>
      </text>
    </comment>
    <comment authorId="0" ref="F34">
      <text>
        <t xml:space="preserve">Domínio: Mobile
Ecossistema: Android, Desenvolvimento de Placa, Prototipação
Linguagens: Kotlin
Match (requisitos do projeto):
DOM: M (0/2)[] S (0/1)[] C (0/1)[]
ECO: M (1/2)[desenvolvimento de placa] S (0/1)[] C (1/2)[prototipação]
LING: M (0/1)[] S (0/1)[] C (0/1)[]
Colaboração (somente com membros desta equipe):
446-93: SEM_COMUM
446-168: SEM_COMUM
446-242: SEM_COMUM</t>
      </text>
    </comment>
    <comment authorId="0" ref="G34">
      <text>
        <t xml:space="preserve">Domínio: Desktop, Cloud
Ecossistema: .NET, Instrumentação (osciloscópio, analisador lógico)
Linguagens: C#, Python
Match (requisitos do projeto):
DOM: M (0/2)[] S (0/1)[] C (1/1)[cloud]
ECO: M (0/2)[] S (0/1)[] C (1/2)[instrumentação (osciloscópio, analisador lógico)]
LING: M (0/1)[] S (0/1)[] C (1/1)[python]
Colaboração (somente com membros desta equipe):
93-168: SEM_COMUM
93-242: SEM_COMUM
93-446: SEM_COMUM</t>
      </text>
    </comment>
    <comment authorId="0" ref="D35">
      <text>
        <t xml:space="preserve">Domínio: Web
 Ecossistema: React
 Linguagens: JavaScript
 Match (requisitos do projeto):
 DOM: M (0/2)[] S (0/1)[] C (0/1)[]
 ECO: M (0/2)[] S (0/1)[] C (0/2)[]
 LING: M (0/1)[] S (0/1)[] C (0/1)[]
 Colaboração (somente com membros desta equipe [Dev568, Dev463, Dev7, Dev498]):
 568-463: P184(osf=0.615,slf=0.450); P272(osf=0.487,slf=0.637); P274(osf=0.411,slf=0.591)
 568-7: SEM_COMUM
 568-498: SEM_COMUM</t>
      </text>
    </comment>
    <comment authorId="0" ref="E35">
      <text>
        <t xml:space="preserve">Domínio: Web
 Ecossistema: Vue
 Linguagens: JavaScript
 Match (requisitos do projeto):
 DOM: M (0/2)[] S (0/1)[] C (0/1)[]
 ECO: M (0/2)[] S (0/1)[] C (0/3)[]
 LING: M (0/1)[] S (0/1)[] C (0/1)[]
 Colaboração (somente com membros desta equipe):
 463-7: SEM_COMUM
 463-498: SEM_COMUM
 463-568: SEM_COMUM</t>
      </text>
    </comment>
    <comment authorId="0" ref="F35">
      <text>
        <t xml:space="preserve">Domínio: Web
 Ecossistema: React
 Linguagens: JavaScript
 Match (requisitos do projeto):
 DOM: M (0/2)[] S (0/1)[] C (0/1)[]
 ECO: M (0/2)[] S (0/1)[] C (0/3)[]
 LING: M (0/1)[] S (0/1)[] C (0/1)[]
 Colaboração (somente com membros desta equipe):
 7-463: SEM_COMUM
 7-498: SEM_COMUM
 7-568: SEM_COMUM</t>
      </text>
    </comment>
    <comment authorId="0" ref="G35">
      <text>
        <t xml:space="preserve">Domínio: Mobile
 Ecossistema: Android
 Linguagens: Kotlin
 Match (requisitos do projeto):
 DOM: M (0/2)[] S (0/1)[] C (0/1)[]
 ECO: M (0/2)[] S (0/1)[] C (0/2)[]
 LING: M (0/1)[] S (1/1)[kotlin] C (0/1)[]
 Colaboração (somente com membros desta equipe [Dev568, Dev463, Dev7, Dev498]):
 498-568: SEM_COMUM
 498-463: P85(osf=0.784,slf=0.538); P82(osf=0.567,slf=0.737)
 498-7: P85(osf=0.784,slf=0.538); P82(osf=0.567,slf=0.737)</t>
      </text>
    </comment>
    <comment authorId="0" ref="D36">
      <text>
        <t xml:space="preserve">Domínio: Web
 Ecossistema: Spring Boot
 Linguagens: Java
 Match (requisitos do projeto):
 DOM: M (0/2)[] S (0/1)[] C (0/1)[]
 ECO: M (0/2)[] S (0/1)[] C (0/2)[]
 LING: M (0/1)[] S (0/1)[] C (0/1)[]
 Colaboração (somente com membros desta equipe [Dev498, Dev67, Dev94, Dev291]):
 67-498: SEM_COMUM
 67-94: SEM_COMUM
 67-291: SEM_COMUM</t>
      </text>
    </comment>
    <comment authorId="0" ref="E36">
      <text>
        <t xml:space="preserve">Domínio: Web
 Ecossistema: Vue
 Linguagens: JavaScript
 Match (requisitos do projeto):
 DOM: M (0/2)[] S (0/1)[] C (0/1)[]
 ECO: M (0/2)[] S (0/1)[] C (0/2)[]
 LING: M (0/1)[] S (0/1)[] C (0/1)[]
 Colaboração (somente com membros desta equipe [Dev498, Dev67, Dev94, Dev291]):
 94-498: SEM_COMUM
 94-67: SEM_COMUM
 94-291: P82(osf=0.567,slf=0.737)</t>
      </text>
    </comment>
    <comment authorId="0" ref="F36">
      <text>
        <t xml:space="preserve">Domínio: Desktop
 Ecossistema: .NET
 Linguagens: C#
 Match (requisitos do projeto):
 DOM: M (0/2)[] S (0/1)[] C (0/1)[]
 ECO: M (0/2)[] S (0/1)[] C (0/2)[]
 LING: M (0/1)[] S (0/1)[] C (0/1)[]
 Colaboração (somente com membros desta equipe [Dev498, Dev67, Dev94, Dev291]):
 291-498: SEM_COMUM
 291-67: SEM_COMUM
 291-94: P82(osf=0.567,slf=0.737)</t>
      </text>
    </comment>
    <comment authorId="0" ref="G36">
      <text>
        <t xml:space="preserve">Domínio: Desktop
 Ecossistema: .NET
 Linguagens: C#
 Match (requisitos do projeto):
 DOM: M (0/2)[] S (0/1)[] C (0/1)[]
 ECO: M (0/2)[] S (0/1)[] C (0/3)[]
 LING: M (0/1)[] S (0/1)[] C (0/1)[]
 Colaboração (somente com membros desta equipe):
 450-67: SEM_COMUM
 450-94: SEM_COMUM
 450-291: SEM_COMUM</t>
      </text>
    </comment>
  </commentList>
</comments>
</file>

<file path=xl/sharedStrings.xml><?xml version="1.0" encoding="utf-8"?>
<sst xmlns="http://schemas.openxmlformats.org/spreadsheetml/2006/main" count="1521" uniqueCount="612">
  <si>
    <t>ID</t>
  </si>
  <si>
    <t>Nickname</t>
  </si>
  <si>
    <t>Domain</t>
  </si>
  <si>
    <t>Ecosystem</t>
  </si>
  <si>
    <t>Language</t>
  </si>
  <si>
    <t>summary_of_common_team_projects</t>
  </si>
  <si>
    <t>Dev5</t>
  </si>
  <si>
    <t>Mobile</t>
  </si>
  <si>
    <t>Android</t>
  </si>
  <si>
    <t>Kotlin</t>
  </si>
  <si>
    <t>5-263: P179(,osf=0.489,slf=0.711) | 5-468: P82(,osf=0.567,slf=0.737) | 5-503: P145(,osf=0.612,slf=0.871); P177(,osf=0.340,slf=0.621); P213(,osf=0.312,slf=0.608); P216(,osf=0.401,slf=0.341); P279(,osf=0.594,slf=0.422)</t>
  </si>
  <si>
    <t>Dev7</t>
  </si>
  <si>
    <t>Web</t>
  </si>
  <si>
    <t>React</t>
  </si>
  <si>
    <t>JavaScript</t>
  </si>
  <si>
    <t>7-193: P82(,osf=0.567,slf=0.737); P85(,osf=0.784,slf=0.538) | 7-194: P40(,osf=0.733,slf=0.373); P82(,osf=0.567,slf=0.737); P85(,osf=0.784,slf=0.538)</t>
  </si>
  <si>
    <t>Dev8</t>
  </si>
  <si>
    <t>IoT</t>
  </si>
  <si>
    <t>8-142: P104(,osf=0.636,slf=0.624); P175(,osf=0.716,slf=0.339); P205(,osf=0.588,slf=0.465); P92(,osf=0.849,slf=0.891) | 8-290: P175(,osf=0.716,slf=0.339); P205(,osf=0.588,slf=0.465); P92(,osf=0.849,slf=0.891)</t>
  </si>
  <si>
    <t>Dev27</t>
  </si>
  <si>
    <t>27-363: P103(,osf=0.739,slf=0.847); P123(,osf=0.393,slf=0.825); P144(,osf=0.541,slf=0.688); P145(,osf=0.612,slf=0.871); P148(,osf=0.411,slf=0.639); P149(,osf=0.325,slf=0.603); P150(,osf=0.475,slf=0.317); P171(,osf=0.486,slf=0.531); P177(,osf=0.340,slf=0.621); P179(,osf=0.489,slf=0.711); P239(,osf=0.422,slf=0.462); P240(,osf=0.385,slf=0.409); P258(,osf=0.666,slf=0.352); P72(,osf=0.639,slf=0.456); P80(,osf=0.559,slf=0.624); P82(,osf=0.567,slf=0.737); P85(,osf=0.784,slf=0.538); P99(,osf=0.757,slf=0.452)</t>
  </si>
  <si>
    <t>Dev29</t>
  </si>
  <si>
    <t>Vue</t>
  </si>
  <si>
    <t>29-524: P106(,osf=0.303,slf=0.349); P262(,osf=0.819,slf=0.404)</t>
  </si>
  <si>
    <t>Dev33</t>
  </si>
  <si>
    <t>Android, CouchDB, iOS/iPadOS</t>
  </si>
  <si>
    <t>Dev36</t>
  </si>
  <si>
    <t>36-181: P82(,osf=0.567,slf=0.737)</t>
  </si>
  <si>
    <t>Dev38</t>
  </si>
  <si>
    <t>iOS/iPadOS</t>
  </si>
  <si>
    <t>38-225: P82(,osf=0.567,slf=0.737)</t>
  </si>
  <si>
    <t>Dev62</t>
  </si>
  <si>
    <t>MongoDB, iOS/iPadOS</t>
  </si>
  <si>
    <t>62-415: P85(,osf=0.784,slf=0.538)</t>
  </si>
  <si>
    <t>Dev71</t>
  </si>
  <si>
    <t>IoT, Web</t>
  </si>
  <si>
    <t>HTML, JavaScript, Python</t>
  </si>
  <si>
    <t>Dev81</t>
  </si>
  <si>
    <t>81-104: P69(,osf=0.478,slf=0.301)</t>
  </si>
  <si>
    <t>Dev93</t>
  </si>
  <si>
    <t>Desktop</t>
  </si>
  <si>
    <t>.NET</t>
  </si>
  <si>
    <t>C#</t>
  </si>
  <si>
    <t>93-270: P82(,osf=0.567,slf=0.737) | 93-292: P82(,osf=0.567,slf=0.737) | 93-437: P158(,osf=0.670,slf=0.322); P82(,osf=0.567,slf=0.737); P85(,osf=0.784,slf=0.538)</t>
  </si>
  <si>
    <t>Dev103</t>
  </si>
  <si>
    <t>Angular</t>
  </si>
  <si>
    <t>TypeScript</t>
  </si>
  <si>
    <t>103-544: P82(,osf=0.567,slf=0.737); P85(,osf=0.784,slf=0.538)</t>
  </si>
  <si>
    <t>Dev104</t>
  </si>
  <si>
    <t>104-81: P69(,osf=0.478,slf=0.301)</t>
  </si>
  <si>
    <t>Dev115</t>
  </si>
  <si>
    <t>Node.js</t>
  </si>
  <si>
    <t>Dev119</t>
  </si>
  <si>
    <t>Swift</t>
  </si>
  <si>
    <t>119-193: P82(,osf=0.567,slf=0.737) | 119-399: P82(,osf=0.567,slf=0.737)</t>
  </si>
  <si>
    <t>Dev142</t>
  </si>
  <si>
    <t>142-8: P104(,osf=0.636,slf=0.624); P175(,osf=0.716,slf=0.339); P205(,osf=0.588,slf=0.465); P92(,osf=0.849,slf=0.891) | 142-290: P175(,osf=0.716,slf=0.339); P205(,osf=0.588,slf=0.465); P242(,osf=0.558,slf=0.665); P253(,osf=0.540,slf=0.837); P71(,osf=0.523,slf=0.674); P79(,osf=0.323,slf=0.442); P82(,osf=0.567,slf=0.737); P85(,osf=0.784,slf=0.538); P92(,osf=0.849,slf=0.891)</t>
  </si>
  <si>
    <t>Dev143</t>
  </si>
  <si>
    <t>Cloud</t>
  </si>
  <si>
    <t>AWS Lambda</t>
  </si>
  <si>
    <t>Python</t>
  </si>
  <si>
    <t>143-370: P68(,osf=0.644,slf=0.857)</t>
  </si>
  <si>
    <t>Dev145</t>
  </si>
  <si>
    <t>JSON, JavaScript</t>
  </si>
  <si>
    <t>145-263: P179(,osf=0.489,slf=0.711); P201(,osf=0.535,slf=0.596)</t>
  </si>
  <si>
    <t>Dev154</t>
  </si>
  <si>
    <t>Dev169</t>
  </si>
  <si>
    <t>Dev174</t>
  </si>
  <si>
    <t>Dev181</t>
  </si>
  <si>
    <t>181-36: P82(,osf=0.567,slf=0.737)</t>
  </si>
  <si>
    <t>Dev193</t>
  </si>
  <si>
    <t>Spring Boot</t>
  </si>
  <si>
    <t>Java</t>
  </si>
  <si>
    <t>193-7: P82(,osf=0.567,slf=0.737); P85(,osf=0.784,slf=0.538) | 193-119: P82(,osf=0.567,slf=0.737) | 193-194: P82(,osf=0.567,slf=0.737); P85(,osf=0.784,slf=0.538) | 193-399: P82(,osf=0.567,slf=0.737); P85(,osf=0.784,slf=0.538)</t>
  </si>
  <si>
    <t>Dev194</t>
  </si>
  <si>
    <t>194-7: P40(,osf=0.733,slf=0.373); P82(,osf=0.567,slf=0.737); P85(,osf=0.784,slf=0.538) | 194-193: P82(,osf=0.567,slf=0.737); P85(,osf=0.784,slf=0.538)</t>
  </si>
  <si>
    <t>Dev198</t>
  </si>
  <si>
    <t>198-415: P82(,osf=0.567,slf=0.737)</t>
  </si>
  <si>
    <t>Dev205</t>
  </si>
  <si>
    <t>205-526: P139(,osf=0.325,slf=0.436)</t>
  </si>
  <si>
    <t>Dev209</t>
  </si>
  <si>
    <t>Dev225</t>
  </si>
  <si>
    <t>225-38: P82(,osf=0.567,slf=0.737)</t>
  </si>
  <si>
    <t>Dev241</t>
  </si>
  <si>
    <t>Dev250</t>
  </si>
  <si>
    <t>Dev263</t>
  </si>
  <si>
    <t>263-5: P179(,osf=0.489,slf=0.711) | 263-145: P179(,osf=0.489,slf=0.711); P201(,osf=0.535,slf=0.596)</t>
  </si>
  <si>
    <t>Dev265</t>
  </si>
  <si>
    <t>Dev270</t>
  </si>
  <si>
    <t>270-93: P82(,osf=0.567,slf=0.737) | 270-411: P82(,osf=0.567,slf=0.737) | 270-438: P82(,osf=0.567,slf=0.737)</t>
  </si>
  <si>
    <t>Dev283</t>
  </si>
  <si>
    <t>Dev290</t>
  </si>
  <si>
    <t>290-8: P175(,osf=0.716,slf=0.339); P205(,osf=0.588,slf=0.465); P92(,osf=0.849,slf=0.891) | 290-142: P175(,osf=0.716,slf=0.339); P205(,osf=0.588,slf=0.465); P242(,osf=0.558,slf=0.665); P253(,osf=0.540,slf=0.837); P71(,osf=0.523,slf=0.674); P79(,osf=0.323,slf=0.442); P82(,osf=0.567,slf=0.737); P85(,osf=0.784,slf=0.538); P92(,osf=0.849,slf=0.891)</t>
  </si>
  <si>
    <t>Dev292</t>
  </si>
  <si>
    <t>292-93: P82(,osf=0.567,slf=0.737) | 292-437: P82(,osf=0.567,slf=0.737)</t>
  </si>
  <si>
    <t>Dev293</t>
  </si>
  <si>
    <t>293-438: P124(,osf=0.678,slf=0.507); P152(,osf=0.337,slf=0.880)</t>
  </si>
  <si>
    <t>Dev297</t>
  </si>
  <si>
    <t>Dev303</t>
  </si>
  <si>
    <t>Dev308</t>
  </si>
  <si>
    <t>Dev316</t>
  </si>
  <si>
    <t>Dev324</t>
  </si>
  <si>
    <t>Dev326</t>
  </si>
  <si>
    <t>326-446: P149(,osf=0.325,slf=0.603); P177(,osf=0.340,slf=0.621)</t>
  </si>
  <si>
    <t>Dev331</t>
  </si>
  <si>
    <t>Dev357</t>
  </si>
  <si>
    <t>Dev363</t>
  </si>
  <si>
    <t>363-27: P103(,osf=0.739,slf=0.847); P123(,osf=0.393,slf=0.825); P144(,osf=0.541,slf=0.688); P145(,osf=0.612,slf=0.871); P148(,osf=0.411,slf=0.639); P149(,osf=0.325,slf=0.603); P150(,osf=0.475,slf=0.317); P171(,osf=0.486,slf=0.531); P177(,osf=0.340,slf=0.621); P179(,osf=0.489,slf=0.711); P239(,osf=0.422,slf=0.462); P240(,osf=0.385,slf=0.409); P258(,osf=0.666,slf=0.352); P72(,osf=0.639,slf=0.456); P80(,osf=0.559,slf=0.624); P82(,osf=0.567,slf=0.737); P85(,osf=0.784,slf=0.538); P99(,osf=0.757,slf=0.452) | 363-447: P123(,osf=0.393,slf=0.825); P144(,osf=0.541,slf=0.688); P145(,osf=0.612,slf=0.871); P148(,osf=0.411,slf=0.639); P149(,osf=0.325,slf=0.603); P150(,osf=0.475,slf=0.317); P171(,osf=0.486,slf=0.531); P177(,osf=0.340,slf=0.621); P179(,osf=0.489,slf=0.711); P214(,osf=0.335,slf=0.820); P239(,osf=0.422,slf=0.462); P240(,osf=0.385,slf=0.409); P258(,osf=0.666,slf=0.352); P82(,osf=0.567,slf=0.737); P85(,osf=0.784,slf=0.538) | 363-544: P123(,osf=0.393,slf=0.825); P144(,osf=0.541,slf=0.688); P145(,osf=0.612,slf=0.871); P148(,osf=0.411,slf=0.639); P149(,osf=0.325,slf=0.603); P150(,osf=0.475,slf=0.317); P171(,osf=0.486,slf=0.531); P177(,osf=0.340,slf=0.621); P179(,osf=0.489,slf=0.711); P239(,osf=0.422,slf=0.462); P240(,osf=0.385,slf=0.409); P258(,osf=0.666,slf=0.352); P82(,osf=0.567,slf=0.737); P85(,osf=0.784,slf=0.538)</t>
  </si>
  <si>
    <t>Dev365</t>
  </si>
  <si>
    <t>Dev370</t>
  </si>
  <si>
    <t>370-143: P68(,osf=0.644,slf=0.857)</t>
  </si>
  <si>
    <t>Dev389</t>
  </si>
  <si>
    <t>Dev399</t>
  </si>
  <si>
    <t>399-119: P82(,osf=0.567,slf=0.737) | 399-193: P82(,osf=0.567,slf=0.737); P85(,osf=0.784,slf=0.538)</t>
  </si>
  <si>
    <t>Dev411</t>
  </si>
  <si>
    <t>411-270: P82(,osf=0.567,slf=0.737) | 411-479: P179(,osf=0.489,slf=0.711) | 411-503: P145(,osf=0.612,slf=0.871); P177(,osf=0.340,slf=0.621); P284(,osf=0.383,slf=0.553)</t>
  </si>
  <si>
    <t>Dev415</t>
  </si>
  <si>
    <t>415-62: P85(,osf=0.784,slf=0.538) | 415-198: P82(,osf=0.567,slf=0.737)</t>
  </si>
  <si>
    <t>Dev437</t>
  </si>
  <si>
    <t>437-93: P158(,osf=0.670,slf=0.322); P82(,osf=0.567,slf=0.737); P85(,osf=0.784,slf=0.538) | 437-292: P82(,osf=0.567,slf=0.737)</t>
  </si>
  <si>
    <t>Dev438</t>
  </si>
  <si>
    <t>438-270: P82(,osf=0.567,slf=0.737) | 438-293: P124(,osf=0.678,slf=0.507); P152(,osf=0.337,slf=0.880) | 438-558: P85(,osf=0.784,slf=0.538)</t>
  </si>
  <si>
    <t>Dev439</t>
  </si>
  <si>
    <t>Dev446</t>
  </si>
  <si>
    <t>446-326: P149(,osf=0.325,slf=0.603); P177(,osf=0.340,slf=0.621)</t>
  </si>
  <si>
    <t>Dev447</t>
  </si>
  <si>
    <t>447-363: P123(,osf=0.393,slf=0.825); P144(,osf=0.541,slf=0.688); P145(,osf=0.612,slf=0.871); P148(,osf=0.411,slf=0.639); P149(,osf=0.325,slf=0.603); P150(,osf=0.475,slf=0.317); P171(,osf=0.486,slf=0.531); P177(,osf=0.340,slf=0.621); P179(,osf=0.489,slf=0.711); P214(,osf=0.335,slf=0.820); P239(,osf=0.422,slf=0.462); P240(,osf=0.385,slf=0.409); P258(,osf=0.666,slf=0.352); P82(,osf=0.567,slf=0.737); P85(,osf=0.784,slf=0.538)</t>
  </si>
  <si>
    <t>Dev461</t>
  </si>
  <si>
    <t>461-558: P183(,osf=0.476,slf=0.842); P184(,osf=0.615,slf=0.450); P188(,osf=0.655,slf=0.631); P219(,osf=0.351,slf=0.534); P269(,osf=0.400,slf=0.408); P274(,osf=0.411,slf=0.591)</t>
  </si>
  <si>
    <t>Dev466</t>
  </si>
  <si>
    <t>Dev468</t>
  </si>
  <si>
    <t>468-5: P82(,osf=0.567,slf=0.737) | 468-508: P196(,osf=0.888,slf=0.339) | 468-516: P82(,osf=0.567,slf=0.737); P85(,osf=0.784,slf=0.538)</t>
  </si>
  <si>
    <t>Dev479</t>
  </si>
  <si>
    <t>479-411: P179(,osf=0.489,slf=0.711)</t>
  </si>
  <si>
    <t>Dev494</t>
  </si>
  <si>
    <t>Dev503</t>
  </si>
  <si>
    <t>503-5: P145(,osf=0.612,slf=0.871); P177(,osf=0.340,slf=0.621); P213(,osf=0.312,slf=0.608); P216(,osf=0.401,slf=0.341); P279(,osf=0.594,slf=0.422) | 503-411: P145(,osf=0.612,slf=0.871); P177(,osf=0.340,slf=0.621); P284(,osf=0.383,slf=0.553)</t>
  </si>
  <si>
    <t>Dev508</t>
  </si>
  <si>
    <t>508-468: P196(,osf=0.888,slf=0.339)</t>
  </si>
  <si>
    <t>Dev509</t>
  </si>
  <si>
    <t>Dev516</t>
  </si>
  <si>
    <t>516-468: P82(,osf=0.567,slf=0.737); P85(,osf=0.784,slf=0.538)</t>
  </si>
  <si>
    <t>Dev518</t>
  </si>
  <si>
    <t>Dev524</t>
  </si>
  <si>
    <t>524-29: P106(,osf=0.303,slf=0.349); P262(,osf=0.819,slf=0.404)</t>
  </si>
  <si>
    <t>Dev526</t>
  </si>
  <si>
    <t>526-205: P139(,osf=0.325,slf=0.436)</t>
  </si>
  <si>
    <t>Dev544</t>
  </si>
  <si>
    <t>544-103: P82(,osf=0.567,slf=0.737); P85(,osf=0.784,slf=0.538) | 544-363: P123(,osf=0.393,slf=0.825); P144(,osf=0.541,slf=0.688); P145(,osf=0.612,slf=0.871); P148(,osf=0.411,slf=0.639); P149(,osf=0.325,slf=0.603); P150(,osf=0.475,slf=0.317); P171(,osf=0.486,slf=0.531); P177(,osf=0.340,slf=0.621); P179(,osf=0.489,slf=0.711); P239(,osf=0.422,slf=0.462); P240(,osf=0.385,slf=0.409); P258(,osf=0.666,slf=0.352); P82(,osf=0.567,slf=0.737); P85(,osf=0.784,slf=0.538)</t>
  </si>
  <si>
    <t>Dev548</t>
  </si>
  <si>
    <t>Dev558</t>
  </si>
  <si>
    <t>558-438: P85(,osf=0.784,slf=0.538) | 558-461: P183(,osf=0.476,slf=0.842); P184(,osf=0.615,slf=0.450); P188(,osf=0.655,slf=0.631); P219(,osf=0.351,slf=0.534); P269(,osf=0.400,slf=0.408); P274(,osf=0.411,slf=0.591)</t>
  </si>
  <si>
    <t>Dev559</t>
  </si>
  <si>
    <t>Dev562</t>
  </si>
  <si>
    <t>Dev423</t>
  </si>
  <si>
    <t>423-558: P85(,osf=0.784,slf=0.538)</t>
  </si>
  <si>
    <t>Dev391</t>
  </si>
  <si>
    <t>Dev152</t>
  </si>
  <si>
    <t>Dev465</t>
  </si>
  <si>
    <t>Dev362</t>
  </si>
  <si>
    <t>Dev242</t>
  </si>
  <si>
    <t>Dev450</t>
  </si>
  <si>
    <t>Dev161</t>
  </si>
  <si>
    <t>N/A</t>
  </si>
  <si>
    <t>Dev354</t>
  </si>
  <si>
    <t>Dev495</t>
  </si>
  <si>
    <t>Dev458</t>
  </si>
  <si>
    <t>Dev16</t>
  </si>
  <si>
    <t>Dev463</t>
  </si>
  <si>
    <t>Dev65</t>
  </si>
  <si>
    <t>IoT;Web</t>
  </si>
  <si>
    <t>C++;Java</t>
  </si>
  <si>
    <t>65-261: P11(,osf=0.460,slf=0.781); P76(,osf=0.821,slf=0.637); P118(,osf=0.593,slf=0.504)</t>
  </si>
  <si>
    <t>Dev63</t>
  </si>
  <si>
    <t>Lua;Java</t>
  </si>
  <si>
    <t>Dev261</t>
  </si>
  <si>
    <t>261-65: P76(,osf=0.821,slf=0.637); P11(,osf=0.460,slf=0.781); P118(,osf=0.593,slf=0.504)</t>
  </si>
  <si>
    <t>Dev335</t>
  </si>
  <si>
    <t>335-508: P196(,osf=0.888,slf=0.339) | 335-193: P85(,osf=0.784,slf=0.538); P82(,osf=0.567,slf=0.737) | 335-36: P82(,osf=0.567,slf=0.737)</t>
  </si>
  <si>
    <t>Dev168</t>
  </si>
  <si>
    <t>Dev568</t>
  </si>
  <si>
    <t>568-463: P184(,osf=0.615,slf=0.450); P272(,osf=0.487,slf=0.637); P274(,osf=0.411,slf=0.591)</t>
  </si>
  <si>
    <t>Dev498</t>
  </si>
  <si>
    <t>498-463: P85(,osf=0.784,slf=0.538); P82(,osf=0.567,slf=0.737) | 498-7: P85(,osf=0.784,slf=0.538); P82(,osf=0.567,slf=0.737)</t>
  </si>
  <si>
    <t>Dev67</t>
  </si>
  <si>
    <t>Dev94</t>
  </si>
  <si>
    <t>94-291: P82(,osf=0.567,slf=0.737)</t>
  </si>
  <si>
    <t>Dev291</t>
  </si>
  <si>
    <t>291-94: P82(,osf=0.567,slf=0.737)</t>
  </si>
  <si>
    <t>Project ID</t>
  </si>
  <si>
    <t>Name</t>
  </si>
  <si>
    <t>Description</t>
  </si>
  <si>
    <t>Domain_must</t>
  </si>
  <si>
    <t>Domain_should</t>
  </si>
  <si>
    <t>Domain_could</t>
  </si>
  <si>
    <t>Ecosystem_must</t>
  </si>
  <si>
    <t>Ecosystem_should</t>
  </si>
  <si>
    <t>Ecosystem_could</t>
  </si>
  <si>
    <t>Language_must</t>
  </si>
  <si>
    <t>Language_should</t>
  </si>
  <si>
    <t>Language_could</t>
  </si>
  <si>
    <t>P_</t>
  </si>
  <si>
    <t>&lt;nome_do_projeto&gt;</t>
  </si>
  <si>
    <t>P1</t>
  </si>
  <si>
    <t>.NET Corporate Portal Maintainance</t>
  </si>
  <si>
    <t>Internal corporate portal in .NET, with both desktop and web components, critical for administrative routines. Objective: fix bugs, improve performance, and gradually modernize the front-end without disrupting operations.</t>
  </si>
  <si>
    <t>Desktop, Web</t>
  </si>
  <si>
    <t>MongoDB</t>
  </si>
  <si>
    <t>JavaScript, TypeScript</t>
  </si>
  <si>
    <t>P2</t>
  </si>
  <si>
    <t>Hybrid Mobile App with Web Panel</t>
  </si>
  <si>
    <t>Mobile application for Android and iOS consuming an existing backend, with a simple web panel for support. Focus on UX, good cross-platform communication, and stable backend integration.</t>
  </si>
  <si>
    <t>Android, iOS/iPadOS</t>
  </si>
  <si>
    <t>Kotlin, Swift</t>
  </si>
  <si>
    <t>Java, C#</t>
  </si>
  <si>
    <t>P3</t>
  </si>
  <si>
    <t xml:space="preserve">Cloud IoT Sensor Platform </t>
  </si>
  <si>
    <t>Platform to collect IoT sensor data, process it in the cloud, and display it on a web dashboard. Focus on robust data ingestion, cloud processing, and minimal but functional visualization.</t>
  </si>
  <si>
    <t>IoT, Cloud</t>
  </si>
  <si>
    <t>React, Angular, MongoDB</t>
  </si>
  <si>
    <t>Python, C++</t>
  </si>
  <si>
    <t>Java, TypeScript</t>
  </si>
  <si>
    <t>P4</t>
  </si>
  <si>
    <t>Web Analytic Reports SaaS</t>
  </si>
  <si>
    <t>Web-based SaaS application for generating dashboards and analytical reports using MongoDB data. Emphasis on efficient queries, solid data modeling, and a clear visualization interface.</t>
  </si>
  <si>
    <t>Angular, React</t>
  </si>
  <si>
    <t>TypeScript, Python</t>
  </si>
  <si>
    <t>P5</t>
  </si>
  <si>
    <t>Critical Web + Cloud Platform</t>
  </si>
  <si>
    <t>Mission-critical Web + Cloud system with a React front-end, serverless backend on AWS Lambda, and MongoDB database. Requires high reliability, testing, monitoring, and scalability.</t>
  </si>
  <si>
    <t>Web, Cloud</t>
  </si>
  <si>
    <t>React, AWS Lambda, MongoDB</t>
  </si>
  <si>
    <t>JavaScript, TypeScript, Python</t>
  </si>
  <si>
    <t>C#, Java</t>
  </si>
  <si>
    <t>P6</t>
  </si>
  <si>
    <t>Critical Embedded Hardware Platform</t>
  </si>
  <si>
    <t>Development of an electronic board (PCB) and embedded firmware for a mission-critical device. Includes board design, prototyping, bring-up, drivers, sensor reading/actuator control, bench testing, and validation.</t>
  </si>
  <si>
    <t>Hardware, Embedded</t>
  </si>
  <si>
    <t>PCB, Desenvolvimento de Placa</t>
  </si>
  <si>
    <t>Eletrônica (circuitos lógicos e analógicos)</t>
  </si>
  <si>
    <t>Instrumentação (osciloscópio, analisador lógico), Prototipação</t>
  </si>
  <si>
    <t>C</t>
  </si>
  <si>
    <t xml:space="preserve"> C++ (se tiver firmware mais complexo)</t>
  </si>
  <si>
    <t>Python (scripts de teste/automação de bancada)</t>
  </si>
  <si>
    <t>Requirements</t>
  </si>
  <si>
    <t>Team ID</t>
  </si>
  <si>
    <t>Dev1</t>
  </si>
  <si>
    <t>Dev2</t>
  </si>
  <si>
    <t>Dev3</t>
  </si>
  <si>
    <t>Dev4</t>
  </si>
  <si>
    <t>Rank expert</t>
  </si>
  <si>
    <t>team_match_summary</t>
  </si>
  <si>
    <t>DOM_M</t>
  </si>
  <si>
    <t>DOM_S</t>
  </si>
  <si>
    <t>DOM_C</t>
  </si>
  <si>
    <t>ECO_M</t>
  </si>
  <si>
    <t>ECO_S</t>
  </si>
  <si>
    <t>ECO_C</t>
  </si>
  <si>
    <t>LING_M</t>
  </si>
  <si>
    <t>LING_S</t>
  </si>
  <si>
    <t>LING_C</t>
  </si>
  <si>
    <t>MUST_OK</t>
  </si>
  <si>
    <t>TOTAL_ABSENCES_MUST</t>
  </si>
  <si>
    <t>note_dev1</t>
  </si>
  <si>
    <t>note_dev2</t>
  </si>
  <si>
    <t>note_dev3</t>
  </si>
  <si>
    <t>note_dev4</t>
  </si>
  <si>
    <t>P1-TEAM1</t>
  </si>
  <si>
    <r>
      <rPr>
        <rFont val="Arial"/>
        <b/>
        <color theme="1"/>
      </rPr>
      <t>DOM</t>
    </r>
    <r>
      <rPr>
        <rFont val="Arial"/>
        <color theme="1"/>
      </rPr>
      <t xml:space="preserve"> M(1/2)[web] S(0/1)[] C(1/1)[mobile] | </t>
    </r>
    <r>
      <rPr>
        <rFont val="Arial"/>
        <b/>
        <color theme="1"/>
      </rPr>
      <t>ECO</t>
    </r>
    <r>
      <rPr>
        <rFont val="Arial"/>
        <color theme="1"/>
      </rPr>
      <t xml:space="preserve"> M(0/1)[] S(1/1)[react] C(0/1)[] | </t>
    </r>
    <r>
      <rPr>
        <rFont val="Arial"/>
        <b/>
        <color theme="1"/>
      </rPr>
      <t>LING</t>
    </r>
    <r>
      <rPr>
        <rFont val="Arial"/>
        <color theme="1"/>
      </rPr>
      <t xml:space="preserve"> M(0/1)[] S(1/2)[javascript] C(0/1)[]</t>
    </r>
  </si>
  <si>
    <t>Domain: Web
Ecosystem: React
Language: JavaScript
Match:
DOM: M (1/2)[web] S (0/1)[] C (0/1)[]
ECO: M (0/1)[] S (1/1)[react] C (0/1)[]
LING: M (0/1)[] S (1/2)[javascript] C (0/1)[]
Collaboration::
169-27: UNCOMMON
169-81: UNCOMMON
169-363: UNCOMMON</t>
  </si>
  <si>
    <t>Domain: Web
Ecosystem: nan
Language: JavaScript
Match:
DOM: M (1/2)[web] S (0/1)[] C (0/1)[]
ECO: M (0/1)[] S (0/1)[] C (0/1)[]
LING: M (0/1)[] S (1/2)[javascript] C (0/1)[]
Collaboration::
27-81: UNCOMMON
27-169: UNCOMMON
27-363: P103(,osf=0.739,slf=0.847); P123(,osf=0.393,slf=0.825); P144(,osf=0.541,slf=0.688); P145(,osf=0.612,slf=0.871); P148(,osf=0.411,slf=0.639); P149(,osf=0.325,slf=0.603); P150(,osf=0.475,slf=0.317); P171(,osf=0.486,slf=0.531); P177(,osf=0.340,slf=0.621); P179(,osf=0.489,slf=0.711); P239(,osf=0.422,slf=0.462); P240(,osf=0.385,slf=0.409); P258(,osf=0.666,slf=0.352); P72(,osf=0.639,slf=0.456); P80(,osf=0.559,slf=0.624); P82(,osf=0.567,slf=0.737); P85(,osf=0.784,slf=0.538); P99(,osf=0.757,slf=0.452)</t>
  </si>
  <si>
    <t>Domain: IoT
Ecosystem: nan
Language: JavaScript
Match:
DOM: M (0/2)[] S (0/1)[] C (0/1)[]
ECO: M (0/1)[] S (0/1)[] C (0/1)[]
LING: M (0/1)[] S (1/2)[javascript] C (0/1)[]
Collaboration::
81-27: UNCOMMON
81-169: UNCOMMON
81-363: UNCOMMON</t>
  </si>
  <si>
    <t>Domain: Mobile
Ecosystem: iOS/iPadOS
Language: Swift
Match:
DOM: M (0/2)[] S (0/1)[] C (1/1)[mobile]
ECO: M (0/1)[] S (0/1)[] C (0/1)[]
LING: M (0/1)[] S (0/2)[] C (0/1)[]
Collaboration::
363-27: P103(,osf=0.739,slf=0.847); P123(,osf=0.393,slf=0.825); P144(,osf=0.541,slf=0.688); P145(,osf=0.612,slf=0.871); P148(,osf=0.411,slf=0.639); P149(,osf=0.325,slf=0.603); P150(,osf=0.475,slf=0.317); P171(,osf=0.486,slf=0.531); P177(,osf=0.340,slf=0.621); P179(,osf=0.489,slf=0.711); P239(,osf=0.422,slf=0.462); P240(,osf=0.385,slf=0.409); P258(,osf=0.666,slf=0.352); P72(,osf=0.639,slf=0.456); P80(,osf=0.559,slf=0.624); P82(,osf=0.567,slf=0.737); P85(,osf=0.784,slf=0.538); P99(,osf=0.757,slf=0.452) | 363-447: P123(,osf=0.393,slf=0.825); P144(,osf=0.541,slf=0.688); P145(,osf=0.612,slf=0.871); P148(,osf=0.411,slf=0.639); P149(,osf=0.325,slf=0.603); P150(,osf=0.475,slf=0.317); P171(,osf=0.486,slf=0.531); P177(,osf=0.340,slf=0.621); P179(,osf=0.489,slf=0.711); P214(,osf=0.335,slf=0.820); P239(,osf=0.422,slf=0.462); P240(,osf=0.385,slf=0.409); P258(,osf=0.666,slf=0.352); P82(,osf=0.567,slf=0.737); P85(,osf=0.784,slf=0.538) | 363-544: P123(,osf=0.393,slf=0.825); P144(,osf=0.541,slf=0.688); P145(,osf=0.612,slf=0.871); P148(,osf=0.411,slf=0.639); P149(,osf=0.325,slf=0.603); P150(,osf=0.475,slf=0.317); P171(,osf=0.486,slf=0.531); P177(,osf=0.340,slf=0.621); P179(,osf=0.489,slf=0.711); P239(,osf=0.422,slf=0.462); P240(,osf=0.385,slf=0.409); P258(,osf=0.666,slf=0.352); P82(,osf=0.567,slf=0.737); P85(,osf=0.784,slf=0.538)
363-81: UNCOMMON
363-169: UNCOMMON</t>
  </si>
  <si>
    <t>P1-TEAM2</t>
  </si>
  <si>
    <r>
      <rPr>
        <rFont val="Arial"/>
        <b/>
        <color theme="1"/>
      </rPr>
      <t>DOM</t>
    </r>
    <r>
      <rPr>
        <rFont val="Arial"/>
        <color theme="1"/>
      </rPr>
      <t xml:space="preserve"> M(1/2)[web] S(0/1)[] C(0/1)[] |</t>
    </r>
    <r>
      <rPr>
        <rFont val="Arial"/>
        <b/>
        <color theme="1"/>
      </rPr>
      <t xml:space="preserve"> ECO</t>
    </r>
    <r>
      <rPr>
        <rFont val="Arial"/>
        <color theme="1"/>
      </rPr>
      <t xml:space="preserve"> M(0/1)[] S(1/1)[react] C(0/1)[] | </t>
    </r>
    <r>
      <rPr>
        <rFont val="Arial"/>
        <b/>
        <color theme="1"/>
      </rPr>
      <t>LING</t>
    </r>
    <r>
      <rPr>
        <rFont val="Arial"/>
        <color theme="1"/>
      </rPr>
      <t xml:space="preserve"> M(0/1)[] S(2/2)[javascript, typescript] C(1/1)[python]</t>
    </r>
  </si>
  <si>
    <t>P1-TEAM3</t>
  </si>
  <si>
    <r>
      <rPr>
        <rFont val="Arial"/>
        <b/>
        <color theme="1"/>
      </rPr>
      <t>DOM</t>
    </r>
    <r>
      <rPr>
        <rFont val="Arial"/>
        <color theme="1"/>
      </rPr>
      <t xml:space="preserve"> M(1/2)[web] S(0/1)[] C(1/1)[mobile] | </t>
    </r>
    <r>
      <rPr>
        <rFont val="Arial"/>
        <b/>
        <color theme="1"/>
      </rPr>
      <t>ECO</t>
    </r>
    <r>
      <rPr>
        <rFont val="Arial"/>
        <color theme="1"/>
      </rPr>
      <t xml:space="preserve"> M(0/1)[] S(1/1)[react] C(0/1)[] | </t>
    </r>
    <r>
      <rPr>
        <rFont val="Arial"/>
        <b/>
        <color theme="1"/>
      </rPr>
      <t>LING</t>
    </r>
    <r>
      <rPr>
        <rFont val="Arial"/>
        <color theme="1"/>
      </rPr>
      <t xml:space="preserve"> M(0/1)[] S(1/2)[javascript] C(0/1)[]</t>
    </r>
  </si>
  <si>
    <t>Domain: Mobile
Ecosystem: Android
Language: Kotlin
Match:
DOM: M (0/2)[] S (0/1)[] C (1/1)[mobile]
ECO: M (0/1)[] S (0/1)[] C (0/1)[]
LING: M (0/1)[] S (0/2)[] C (0/1)[]
Collaboration::
205-363: UNCOMMON
205-447: UNCOMMON
205-526: P139(,osf=0.325,slf=0.436)</t>
  </si>
  <si>
    <t>Domain: Web
Ecosystem: React
Language: JavaScript
Match:
DOM: M (1/2)[web] S (0/1)[] C (0/1)[]
ECO: M (0/1)[] S (1/1)[react] C (0/1)[]
LING: M (0/1)[] S (1/2)[javascript] C (0/1)[]
Collaboration::
526-205: P139(,osf=0.325,slf=0.436)
526-363: UNCOMMON
526-447: UNCOMMON</t>
  </si>
  <si>
    <t>Domain: Mobile
Ecosystem: iOS/iPadOS
Language: Swift
Match:
DOM: M (0/2)[] S (0/1)[] C (1/1)[mobile]
ECO: M (0/1)[] S (0/1)[] C (0/1)[]
LING: M (0/1)[] S (0/2)[] C (0/1)[]
Collaboration::
363-205: UNCOMMON
363-447: UNCOMMON
363-526: UNCOMMON</t>
  </si>
  <si>
    <t>Domain: Mobile
Ecosystem: iOS/iPadOS
Language: Swift
Match:
DOM: M (0/2)[] S (0/1)[] C (1/1)[mobile]
ECO: M (0/1)[] S (0/1)[] C (0/1)[]
LING: M (0/1)[] S (0/2)[] C (0/1)[]
Collaboration::
447-205: UNCOMMON
447-363: P123(,osf=0.393,slf=0.825); P144(,osf=0.541,slf=0.688); P145(,osf=0.612,slf=0.871); P148(,osf=0.411,slf=0.639); P149(,osf=0.325,slf=0.603); P150(,osf=0.475,slf=0.317); P171(,osf=0.486,slf=0.531); P177(,osf=0.340,slf=0.621); P179(,osf=0.489,slf=0.711); P214(,osf=0.335,slf=0.820); P239(,osf=0.422,slf=0.462); P240(,osf=0.385,slf=0.409); P258(,osf=0.666,slf=0.352); P82(,osf=0.567,slf=0.737); P85(,osf=0.784,slf=0.538)
447-526: UNCOMMON</t>
  </si>
  <si>
    <t>P1-TEAM4</t>
  </si>
  <si>
    <r>
      <rPr>
        <rFont val="Arial"/>
        <b/>
        <color theme="1"/>
      </rPr>
      <t>DOM</t>
    </r>
    <r>
      <rPr>
        <rFont val="Arial"/>
        <color theme="1"/>
      </rPr>
      <t xml:space="preserve"> M(2/2)[desktop, web] S(0/1)[] C(0/1)[] | </t>
    </r>
    <r>
      <rPr>
        <rFont val="Arial"/>
        <b/>
        <color theme="1"/>
      </rPr>
      <t>ECO</t>
    </r>
    <r>
      <rPr>
        <rFont val="Arial"/>
        <color theme="1"/>
      </rPr>
      <t xml:space="preserve"> M(1/1)[.net] S(0/1)[] C(0/1)[] | </t>
    </r>
    <r>
      <rPr>
        <rFont val="Arial"/>
        <b/>
        <color theme="1"/>
      </rPr>
      <t>LING</t>
    </r>
    <r>
      <rPr>
        <rFont val="Arial"/>
        <color theme="1"/>
      </rPr>
      <t xml:space="preserve"> M(1/1)[c#] S(2/2)[javascript, typescript] C(0/1)[]</t>
    </r>
  </si>
  <si>
    <t>Domain: nan
Ecosystem: Android, CouchDB, iOS/iPadOS
Language: JavaScript
Match:
DOM: M (0/2)[] S (0/1)[] C (0/1)[]
ECO: M (0/1)[] S (0/1)[] C (0/1)[]
LING: M (0/1)[] S (1/2)[javascript] C (0/1)[]
Collaboration::
33-93: UNCOMMON
33-270: UNCOMMON
33-303: UNCOMMON</t>
  </si>
  <si>
    <t>Domain: Desktop
Ecosystem: .NET
Language: C#
Match:
DOM: M (1/2)[desktop] S (0/1)[] C (0/1)[]
ECO: M (1/1)[.net] S (0/1)[] C (0/1)[]
LING: M (1/1)[c#] S (0/2)[] C (0/1)[]
Collaboration::
303-33: UNCOMMON
303-93: UNCOMMON
303-270: UNCOMMON</t>
  </si>
  <si>
    <t>Domain: Web
Ecosystem: Angular
Language: TypeScript
Match:
DOM: M (1/2)[web] S (0/1)[] C (0/1)[]
ECO: M (0/1)[] S (0/1)[] C (0/1)[]
LING: M (0/1)[] S (1/2)[typescript] C (0/1)[]
Collaboration::
270-33: UNCOMMON
270-93: P82(,osf=0.567,slf=0.737) | 270-411: P82(,osf=0.567,slf=0.737) | 270-438: P82(,osf=0.567,slf=0.737)
270-303: UNCOMMON</t>
  </si>
  <si>
    <t>Domain: Desktop
Ecosystem: .NET
Language: C#
Match:
DOM: M (1/2)[desktop] S (0/1)[] C (0/1)[]
ECO: M (1/1)[.net] S (0/1)[] C (0/1)[]
LING: M (1/1)[c#] S (0/2)[] C (0/1)[]
Collaboration::
93-33: UNCOMMON
93-270: P82(,osf=0.567,slf=0.737) | 93-292: P82(,osf=0.567,slf=0.737) | 93-437: P158(,osf=0.670,slf=0.322); P82(,osf=0.567,slf=0.737); P85(,osf=0.784,slf=0.538)
93-303: UNCOMMON</t>
  </si>
  <si>
    <t>P1-TEAM5</t>
  </si>
  <si>
    <r>
      <rPr>
        <rFont val="Arial"/>
        <b/>
        <color theme="1"/>
      </rPr>
      <t>DOM</t>
    </r>
    <r>
      <rPr>
        <rFont val="Arial"/>
        <color theme="1"/>
      </rPr>
      <t xml:space="preserve"> M(1/2)[web] S(0/1)[] C(1/1)[mobile] | </t>
    </r>
    <r>
      <rPr>
        <rFont val="Arial"/>
        <b/>
        <color theme="1"/>
      </rPr>
      <t>ECO</t>
    </r>
    <r>
      <rPr>
        <rFont val="Arial"/>
        <color theme="1"/>
      </rPr>
      <t xml:space="preserve"> M(0/1)[] S(1/1)[react] C(0/1)[] | </t>
    </r>
    <r>
      <rPr>
        <rFont val="Arial"/>
        <b/>
        <color theme="1"/>
      </rPr>
      <t>LING</t>
    </r>
    <r>
      <rPr>
        <rFont val="Arial"/>
        <color theme="1"/>
      </rPr>
      <t xml:space="preserve"> M(0/1)[] S(1/2)[javascript] C(0/1)[]</t>
    </r>
  </si>
  <si>
    <t>Domain: Web
Ecosystem: Node.js
Language: JavaScript
Match:
DOM: M (1/2)[web] S (0/1)[] C (0/1)[]
ECO: M (0/1)[] S (0/1)[] C (0/1)[]
LING: M (0/1)[] S (1/2)[javascript] C (0/1)[]
Collaboration::
316-308: UNCOMMON
316-389: UNCOMMON
316-526: UNCOMMON</t>
  </si>
  <si>
    <t>Domain: Mobile
Ecosystem: Android
Language: Kotlin
Match:
DOM: M (0/2)[] S (0/1)[] C (1/1)[mobile]
ECO: M (0/1)[] S (0/1)[] C (0/1)[]
LING: M (0/1)[] S (0/2)[] C (0/1)[]
Collaboration::
389-308: UNCOMMON
389-316: UNCOMMON
389-526: UNCOMMON</t>
  </si>
  <si>
    <t>Domain: Web
Ecosystem: React
Language: JavaScript
Match:
DOM: M (1/2)[web] S (0/1)[] C (0/1)[]
ECO: M (0/1)[] S (1/1)[react] C (0/1)[]
LING: M (0/1)[] S (1/2)[javascript] C (0/1)[]
Collaboration::
526-308: UNCOMMON
526-316: UNCOMMON
526-389: UNCOMMON</t>
  </si>
  <si>
    <t>Domain: Web
Ecosystem: React
Language: JavaScript
Match:
DOM: M (1/2)[web] S (0/1)[] C (0/1)[]
ECO: M (0/1)[] S (1/1)[react] C (0/1)[]
LING: M (0/1)[] S (1/2)[javascript] C (0/1)[]
Collaboration::
308-316: UNCOMMON
308-389: UNCOMMON
308-526: UNCOMMON</t>
  </si>
  <si>
    <t>P2-TEAM1</t>
  </si>
  <si>
    <t>DOM M(1/1)[mobile] S(1/1)[web] C(0/1)[] | ECO M(1/2)[ios/ipados] S(0/1)[] C(1/1)[.net] | LING M(1/2)[swift] S(1/2)[javascript] C(1/2)[c#]</t>
  </si>
  <si>
    <t>Domain: Desktop
Ecosystem: .NET
Language: C#
Match:
DOM: M (0/1)[] S (0/1)[] C (0/1)[]
ECO: M (0/2)[] S (0/1)[] C (1/1)[.net]
LING: M (0/2)[] S (0/2)[] C (1/2)[c#]
Collaboration::
466-93: UNCOMMON
466-292: UNCOMMON
466-437: UNCOMMON</t>
  </si>
  <si>
    <t>Domain: Desktop
Ecosystem: .NET
Language: C#
Match:
DOM: M (0/1)[] S (0/1)[] C (0/1)[]
ECO: M (0/2)[] S (0/1)[] C (1/1)[.net]
LING: M (0/2)[] S (0/2)[] C (1/2)[c#]
Collaboration::
93-292: UNCOMMON
93-437: UNCOMMON
93-466: UNCOMMON</t>
  </si>
  <si>
    <t>Domain: Mobile
Ecosystem: iOS/iPadOS
Language: Swift
Match:
DOM: M (1/1)[mobile] S (0/1)[] C (0/1)[]
ECO: M (1/2)[ios/ipados] S (0/1)[] C (0/1)[]
LING: M (1/2)[swift] S (0/2)[] C (0/2)[]
Collaboration::
437-93: P158(,osf=0.670,slf=0.322); P82(,osf=0.567,slf=0.737); P85(,osf=0.784,slf=0.538) | 437-292: P82(,osf=0.567,slf=0.737)
437-292: UNCOMMON
437-466: UNCOMMON</t>
  </si>
  <si>
    <t>Domain: Web
Ecosystem: Node.js
Language: JavaScript
Match:
DOM: M (0/1)[] S (1/1)[web] C (0/1)[]
ECO: M (0/2)[] S (0/1)[] C (0/1)[]
LING: M (0/2)[] S (1/2)[javascript] C (0/2)[]
Collaboration::
292-93: P82(,osf=0.567,slf=0.737) | 292-437: P82(,osf=0.567,slf=0.737)
292-437: UNCOMMON
292-466: UNCOMMON</t>
  </si>
  <si>
    <t>P2-TEAM2</t>
  </si>
  <si>
    <t>DOM M(0/1)[] S(1/1)[web] C(0/1)[] | ECO M(0/2)[] S(1/1)[react] C(0/1)[] | LING M(0/2)[] S(2/2)[javascript, typescript] C(1/2)[java]</t>
  </si>
  <si>
    <t>Domain: Web
Ecosystem: Angular
Language: TypeScript
Match:
DOM: M (0/1)[] S (1/1)[web] C (0/1)[]
ECO: M (0/2)[] S (0/1)[] C (0/1)[]
LING: M (0/2)[] S (1/2)[typescript] C (0/2)[]
Collaboration::
270-411: UNCOMMON
270-479: UNCOMMON
270-503: UNCOMMON</t>
  </si>
  <si>
    <t>Domain: Web
Ecosystem: Spring Boot
Language: Java
Match:
DOM: M (0/1)[] S (1/1)[web] C (0/1)[]
ECO: M (0/2)[] S (0/1)[] C (0/1)[]
LING: M (0/2)[] S (0/2)[] C (1/2)[java]
Collaboration::
411-270: P82(,osf=0.567,slf=0.737) | 411-479: P179(,osf=0.489,slf=0.711) | 411-503: P145(,osf=0.612,slf=0.871); P177(,osf=0.340,slf=0.621); P284(,osf=0.383,slf=0.553)
411-479: UNCOMMON
411-503: UNCOMMON</t>
  </si>
  <si>
    <t>Domain: Web
Ecosystem: Angular
Language: TypeScript
Match:
DOM: M (0/1)[] S (1/1)[web] C (0/1)[]
ECO: M (0/2)[] S (0/1)[] C (0/1)[]
LING: M (0/2)[] S (1/2)[typescript] C (0/2)[]
Collaboration::
479-270: UNCOMMON
479-411: P179(,osf=0.489,slf=0.711)
479-503: UNCOMMON</t>
  </si>
  <si>
    <t>Domain: Web
Ecosystem: React
Language: JavaScript
Match:
DOM: M (0/1)[] S (1/1)[web] C (0/1)[]
ECO: M (0/2)[] S (1/1)[react] C (0/1)[]
LING: M (0/2)[] S (1/2)[javascript] C (0/2)[]
Collaboration::
503-270: UNCOMMON
503-411: UNCOMMON
503-479: UNCOMMON</t>
  </si>
  <si>
    <t>P2-TEAM3</t>
  </si>
  <si>
    <t>DOM M(1/1)[mobile] S(1/1)[web] C(0/1)[] | ECO M(1/2)[ios/ipados] S(0/1)[] C(1/1)[.net] | LING M(1/2)[swift] S(1/2)[javascript] C(2/2)[java, c#]</t>
  </si>
  <si>
    <t>Domain: Web
Ecosystem: Node.js
Language: JavaScript
Match:
DOM: M (0/1)[] S (1/1)[web] C (0/1)[]
ECO: M (0/2)[] S (0/1)[] C (0/1)[]
LING: M (0/2)[] S (1/2)[javascript] C (0/2)[]
Collaboration::
115-119: UNCOMMON
115-193: UNCOMMON
115-399: UNCOMMON</t>
  </si>
  <si>
    <t>Domain: Mobile
Ecosystem: iOS/iPadOS
Language: Swift
Match:
DOM: M (1/1)[mobile] S (0/1)[] C (0/1)[]
ECO: M (1/2)[ios/ipados] S (0/1)[] C (0/1)[]
LING: M (1/2)[swift] S (0/2)[] C (0/2)[]
Collaboration::
119-115: UNCOMMON
119-193: P82(,osf=0.567,slf=0.737) | 119-399: P82(,osf=0.567,slf=0.737)
119-399: UNCOMMON</t>
  </si>
  <si>
    <t>Domain: Desktop
Ecosystem: .NET
Language: C#
Match:
DOM: M (0/1)[] S (0/1)[] C (0/1)[]
ECO: M (0/2)[] S (0/1)[] C (1/1)[.net]
LING: M (0/2)[] S (0/2)[] C (1/2)[c#]
Collaboration::
399-115: UNCOMMON
399-119: P82(,osf=0.567,slf=0.737) | 399-193: P82(,osf=0.567,slf=0.737); P85(,osf=0.784,slf=0.538)
399-193: UNCOMMON</t>
  </si>
  <si>
    <t>Domain: Web
Ecosystem: Spring Boot
Language: Java
Match:
DOM: M (0/1)[] S (1/1)[web] C (0/1)[]
ECO: M (0/2)[] S (0/1)[] C (0/1)[]
LING: M (0/2)[] S (0/2)[] C (1/2)[java]
Collaboration::
193-115: UNCOMMON
193-119: UNCOMMON
193-399: UNCOMMON</t>
  </si>
  <si>
    <t>P2-TEAM4</t>
  </si>
  <si>
    <t>DOM M(1/1)[mobile] S(1/1)[web] C(1/1)[cloud] | ECO M(1/2)[android] S(1/1)[react] C(0/1)[] | LING M(1/2)[kotlin] S(1/2)[javascript] C(0/2)[]</t>
  </si>
  <si>
    <t>Domain: Cloud
Ecosystem: AWS Lambda
Language: Python
Match:
DOM: M (0/1)[] S (0/1)[] C (1/1)[cloud]
ECO: M (0/2)[] S (0/1)[] C (0/1)[]
LING: M (0/2)[] S (0/2)[] C (0/2)[]
Collaboration::
468-5: P82(,osf=0.567,slf=0.737) | 468-508: P196(,osf=0.888,slf=0.339) | 468-516: P82(,osf=0.567,slf=0.737); P85(,osf=0.784,slf=0.538)
468-263: UNCOMMON
468-503: UNCOMMON</t>
  </si>
  <si>
    <t>Domain: Web
Ecosystem: Vue
Language: JavaScript
Match:
DOM: M (0/1)[] S (1/1)[web] C (0/1)[]
ECO: M (0/2)[] S (0/1)[] C (0/1)[]
LING: M (0/2)[] S (1/2)[javascript] C (0/2)[]
Collaboration::
263-5: P179(,osf=0.489,slf=0.711) | 263-145: P179(,osf=0.489,slf=0.711); P201(,osf=0.535,slf=0.596)
263-468: UNCOMMON
263-503: UNCOMMON</t>
  </si>
  <si>
    <t>Domain: Web
Ecosystem: React
Language: JavaScript
Match:
DOM: M (0/1)[] S (1/1)[web] C (0/1)[]
ECO: M (0/2)[] S (1/1)[react] C (0/1)[]
LING: M (0/2)[] S (1/2)[javascript] C (0/2)[]
Collaboration::
503-5: P145(,osf=0.612,slf=0.871); P177(,osf=0.340,slf=0.621); P213(,osf=0.312,slf=0.608); P216(,osf=0.401,slf=0.341); P279(,osf=0.594,slf=0.422) | 503-411: P145(,osf=0.612,slf=0.871); P177(,osf=0.340,slf=0.621); P284(,osf=0.383,slf=0.553)
503-263: UNCOMMON
503-468: UNCOMMON</t>
  </si>
  <si>
    <t>Domain: Mobile
Ecosystem: Android
Language: Kotlin
Match:
DOM: M (1/1)[mobile] S (0/1)[] C (0/1)[]
ECO: M (1/2)[android] S (0/1)[] C (0/1)[]
LING: M (1/2)[kotlin] S (0/2)[] C (0/2)[]
Collaboration::
5-263: P179(,osf=0.489,slf=0.711) | 5-468: P82(,osf=0.567,slf=0.737) | 5-503: P145(,osf=0.612,slf=0.871); P177(,osf=0.340,slf=0.621); P213(,osf=0.312,slf=0.608); P216(,osf=0.401,slf=0.341); P279(,osf=0.594,slf=0.422)
5-468: UNCOMMON
5-503: UNCOMMON</t>
  </si>
  <si>
    <t>P2-TEAM5</t>
  </si>
  <si>
    <t>DOM M(1/1)[mobile] S(0/1)[] C(0/1)[] | ECO M(2/2)[android, ios/ipados] S(0/1)[] C(0/1)[] | LING M(2/2)[kotlin, swift] S(1/2)[javascript] C(0/2)[]</t>
  </si>
  <si>
    <t>Domain: Mobile
Ecosystem: Android
Language: Kotlin
Match:
DOM: M (1/1)[mobile] S (0/1)[] C (0/1)[]
ECO: M (1/2)[android] S (0/1)[] C (0/1)[]
LING: M (1/2)[kotlin] S (0/2)[] C (0/2)[]
Collaboration::
104-81: P69(,osf=0.478,slf=0.301)
104-363: UNCOMMON
104-544: UNCOMMON</t>
  </si>
  <si>
    <t>Domain: Mobile
Ecosystem: iOS/iPadOS
Language: Swift
Match:
DOM: M (1/1)[mobile] S (0/1)[] C (0/1)[]
ECO: M (1/2)[ios/ipados] S (0/1)[] C (0/1)[]
LING: M (1/2)[swift] S (0/2)[] C (0/2)[]
Collaboration::
363-81: UNCOMMON
363-104: UNCOMMON
363-544: UNCOMMON</t>
  </si>
  <si>
    <t>Domain: Mobile
Ecosystem: iOS/iPadOS
Language: Swift
Match:
DOM: M (1/1)[mobile] S (0/1)[] C (0/1)[]
ECO: M (1/2)[ios/ipados] S (0/1)[] C (0/1)[]
LING: M (1/2)[swift] S (0/2)[] C (0/2)[]
Collaboration::
544-81: UNCOMMON
544-104: UNCOMMON
544-363: UNCOMMON</t>
  </si>
  <si>
    <t>Domain: IoT
Ecosystem: nan
Language: JavaScript
Match:
DOM: M (0/1)[] S (0/1)[] C (0/1)[]
ECO: M (0/2)[] S (0/1)[] C (0/1)[]
LING: M (0/2)[] S (1/2)[javascript] C (0/2)[]
Collaboration::
81-104: P69(,osf=0.478,slf=0.301)
81-363: UNCOMMON
81-544: UNCOMMON</t>
  </si>
  <si>
    <t>P3-TEAM1</t>
  </si>
  <si>
    <t>DOM M(1/2)[cloud] S(1/1)[web] C(0/1)[] | ECO M(1/1)[aws lambda] S(1/3)[react] C(1/1)[android] | LING M(1/2)[python] S(1/1)[javascript] C(0/2)[]</t>
  </si>
  <si>
    <t>Domain: Web
Ecosystem: React
Language: JavaScript
Match:
DOM: M (0/2)[] S (1/1)[web] C (0/1)[]
ECO: M (0/1)[] S (1/3)[react] C (0/1)[]
LING: M (0/2)[] S (1/1)[javascript] C (0/2)[]
Collaboration::
423-391: UNCOMMON
423-494: UNCOMMON
423-558: P85(,osf=0.784,slf=0.538)</t>
  </si>
  <si>
    <t>Domain: Mobile
Ecosystem: Android
Language: Kotlin
Match:
DOM: M (0/2)[] S (0/1)[] C (0/1)[]
ECO: M (0/1)[] S (0/3)[] C (1/1)[android]
LING: M (0/2)[] S (0/1)[] C (0/2)[]
Collaboration::
558-391: UNCOMMON
558-423: UNCOMMON
558-494: UNCOMMON</t>
  </si>
  <si>
    <t>Domain: Cloud
Ecosystem: AWS Lambda
Language: Python
Match:
DOM: M (1/2)[cloud] S (0/1)[] C (0/1)[]
ECO: M (1/1)[aws lambda] S (0/3)[] C (0/1)[]
LING: M (1/2)[python] S (0/1)[] C (0/2)[]
Collaboration::
494-391: UNCOMMON
494-423: UNCOMMON
494-558: UNCOMMON</t>
  </si>
  <si>
    <t>Domain: Cloud
Ecosystem: AWS Lambda
Language: Python
Match:
DOM: M (1/2)[cloud] S (0/1)[] C (0/1)[]
ECO: M (1/1)[aws lambda] S (0/3)[] C (0/1)[]
LING: M (1/2)[python] S (0/1)[] C (0/2)[]
Collaboration::
391-423: UNCOMMON
391-494: UNCOMMON
391-558: UNCOMMON</t>
  </si>
  <si>
    <t>P3-TEAM2</t>
  </si>
  <si>
    <t>DOM M(0/2)[] S(1/1)[web] C(0/1)[] | ECO M(0/1)[] S(1/3)[react] C(1/1)[android] | LING M(0/2)[] S(1/1)[javascript] C(1/2)[java]</t>
  </si>
  <si>
    <t>Domain: Mobile
Ecosystem: Android
Language: Kotlin
Match:
DOM: M (0/2)[] S (0/1)[] C (0/1)[]
ECO: M (0/1)[] S (0/3)[] C (1/1)[android]
LING: M (0/2)[] S (0/1)[] C (0/2)[]
Collaboration::
104-152: UNCOMMON
104-446: UNCOMMON
104-465: UNCOMMON</t>
  </si>
  <si>
    <t>Domain: Mobile
Ecosystem: Android
Language: Kotlin
Match:
DOM: M (0/2)[] S (0/1)[] C (0/1)[]
ECO: M (0/1)[] S (0/3)[] C (1/1)[android]
LING: M (0/2)[] S (0/1)[] C (0/2)[]
Collaboration::
446-104: UNCOMMON
446-152: UNCOMMON
446-465: UNCOMMON</t>
  </si>
  <si>
    <t>Domain: Web
Ecosystem: React
Language: JavaScript
Match:
DOM: M (0/2)[] S (1/1)[web] C (0/1)[]
ECO: M (0/1)[] S (1/3)[react] C (0/1)[]
LING: M (0/2)[] S (1/1)[javascript] C (0/2)[]
Collaboration::
152-104: UNCOMMON
152-446: UNCOMMON
152-465: UNCOMMON</t>
  </si>
  <si>
    <t>Domain: Web
Ecosystem: Spring Boot
Language: Java
Match:
DOM: M (0/2)[] S (1/1)[web] C (0/1)[]
ECO: M (0/1)[] S (0/3)[] C (0/1)[]
LING: M (0/2)[] S (0/1)[] C (1/2)[java]
Collaboration::
465-104: UNCOMMON
465-152: UNCOMMON
465-446: UNCOMMON</t>
  </si>
  <si>
    <t>P3-TEAM3</t>
  </si>
  <si>
    <t>DOM M(0/2)[] S(1/1)[web] C(1/1)[desktop] | ECO M(0/1)[] S(1/3)[react] C(0/1)[] | LING M(0/2)[] S(1/1)[javascript] C(0/2)[]</t>
  </si>
  <si>
    <t>Domain: Web
Ecosystem: React
Language: JavaScript
Match:
DOM: M (0/2)[] S (1/1)[web] C (0/1)[]
ECO: M (0/1)[] S (1/3)[react] C (0/1)[]
LING: M (0/2)[] S (1/1)[javascript] C (0/2)[]
Collaboration::
362-161: UNCOMMON
362-242: UNCOMMON
362-450: UNCOMMON</t>
  </si>
  <si>
    <t>Domain: Web
Ecosystem: Node.js
Language: JavaScript
Match:
DOM: M (0/2)[] S (1/1)[web] C (0/1)[]
ECO: M (0/1)[] S (0/3)[] C (0/1)[]
LING: M (0/2)[] S (1/1)[javascript] C (0/2)[]
Collaboration::
242-161: UNCOMMON
242-362: UNCOMMON
242-450: UNCOMMON</t>
  </si>
  <si>
    <t>Domain: Desktop
Ecosystem: .NET
Language: C#
Match:
DOM: M (0/2)[] S (0/1)[] C (1/1)[desktop]
ECO: M (0/1)[] S (0/3)[] C (0/1)[]
LING: M (0/2)[] S (0/1)[] C (0/2)[]
Collaboration::
450-161: UNCOMMON
450-242: UNCOMMON
450-362: UNCOMMON</t>
  </si>
  <si>
    <t>Domain: nan
Ecosystem: nan
Language: JavaScript
Match:
DOM: M (0/2)[] S (0/1)[] C (0/1)[]
ECO: M (0/1)[] S (0/3)[] C (0/1)[]
LING: M (0/2)[] S (1/1)[javascript] C (0/2)[]
Collaboration::
161-242: UNCOMMON
161-362: UNCOMMON
161-450: UNCOMMON</t>
  </si>
  <si>
    <t>P3-TEAM4</t>
  </si>
  <si>
    <t>DOM M(0/2)[] S(1/1)[web] C(0/1)[] | ECO M(0/1)[] S(1/3)[react] C(0/1)[] | LING M(0/2)[] S(1/1)[javascript] C(1/2)[java]</t>
  </si>
  <si>
    <t>Domain: Web
Ecosystem: React
Language: JavaScript
Match:
DOM: M (0/2)[] S (1/1)[web] C (0/1)[]
ECO: M (0/1)[] S (1/3)[react] C (0/1)[]
LING: M (0/2)[] S (1/1)[javascript] C (0/2)[]
Collaboration::
362-354: UNCOMMON
362-458: UNCOMMON
362-495: UNCOMMON</t>
  </si>
  <si>
    <t>Domain: Web
Ecosystem: Node.js
Language: JavaScript
Match:
DOM: M (0/2)[] S (1/1)[web] C (0/1)[]
ECO: M (0/1)[] S (0/3)[] C (0/1)[]
LING: M (0/2)[] S (1/1)[javascript] C (0/2)[]
Collaboration::
354-362: UNCOMMON
354-458: UNCOMMON
354-495: UNCOMMON</t>
  </si>
  <si>
    <t>Domain: Web
Ecosystem: Spring Boot
Language: Java
Match:
DOM: M (0/2)[] S (1/1)[web] C (0/1)[]
ECO: M (0/1)[] S (0/3)[] C (0/1)[]
LING: M (0/2)[] S (0/1)[] C (1/2)[java]
Collaboration::
495-354: UNCOMMON
495-362: UNCOMMON
495-458: UNCOMMON</t>
  </si>
  <si>
    <t>Domain: Mobile
Ecosystem: iOS/iPadOS
Language: Swift
Match:
DOM: M (0/2)[] S (0/1)[] C (0/1)[]
ECO: M (0/1)[] S (0/3)[] C (0/1)[]
LING: M (0/2)[] S (0/1)[] C (0/2)[]
Collaboration::
458-354: UNCOMMON
458-362: UNCOMMON
458-495: UNCOMMON</t>
  </si>
  <si>
    <t>P3-TEAM5</t>
  </si>
  <si>
    <t>DOM M(0/2)[] S(1/1)[web] C(0/1)[] | ECO M(0/1)[] S(1/3)[react] C(0/1)[] | LING M(0/2)[] S(1/1)[javascript] C(0/2)[]</t>
  </si>
  <si>
    <t>Domain: Web
Ecosystem: React
Language: JavaScript
Match:
DOM: M (0/2)[] S (1/1)[web] C (0/1)[]
ECO: M (0/1)[] S (1/3)[react] C (0/1)[]
LING: M (0/2)[] S (1/1)[javascript] C (0/2)[]
Collaboration::
439-16: UNCOMMON
439-209: UNCOMMON
439-463: UNCOMMON</t>
  </si>
  <si>
    <t>Domain: nan
Ecosystem: iOS/iPadOS
Language: nan
Match:
DOM: M (0/2)[] S (0/1)[] C (0/1)[]
ECO: M (0/1)[] S (0/3)[] C (0/1)[]
LING: M (0/2)[] S (0/1)[] C (0/2)[]
Collaboration::
16-209: UNCOMMON
16-439: UNCOMMON
16-463: UNCOMMON</t>
  </si>
  <si>
    <t>Domain: Web
Ecosystem: Node.js
Language: JavaScript
Match:
DOM: M (0/2)[] S (1/1)[web] C (0/1)[]
ECO: M (0/1)[] S (0/3)[] C (0/1)[]
LING: M (0/2)[] S (1/1)[javascript] C (0/2)[]
Collaboration::
209-16: UNCOMMON
209-439: UNCOMMON
209-463: UNCOMMON</t>
  </si>
  <si>
    <t>Domain: Web
Ecosystem: Vue
Language: JavaScript
Match:
DOM: M (0/2)[] S (1/1)[web] C (0/1)[]
ECO: M (0/1)[] S (0/3)[] C (0/1)[]
LING: M (0/2)[] S (1/1)[javascript] C (0/2)[]
Collaboration::
463-16: UNCOMMON
463-209: UNCOMMON
463-439: UNCOMMON</t>
  </si>
  <si>
    <t>P4-TEAM1</t>
  </si>
  <si>
    <t>DOM M(1/1)[web] S(0/1)[] C(1/1)[desktop] | ECO M(0/1)[] S(0/2)[] C(0/1)[] | LING M(1/1)[javascript] S(0/2)[] C(1/2)[c#]</t>
  </si>
  <si>
    <t>Domain: Web
Ecosystem: Vue
Language: JavaScript
Match:
DOM: M (1/1)[web] S (0/1)[] C (0/1)[]
ECO: M (0/1)[] S (0/2)[] C (0/1)[]
LING: M (1/1)[javascript] S (0/2)[] C (0/2)[]
Collaboration::
263-241: UNCOMMON
263-303: UNCOMMON
263-548: UNCOMMON</t>
  </si>
  <si>
    <t>Domain: Web
Ecosystem: Node.js
Language: JavaScript
Match:
DOM: M (1/1)[web] S (0/1)[] C (0/1)[]
ECO: M (0/1)[] S (0/2)[] C (0/1)[]
LING: M (1/1)[javascript] S (0/2)[] C (0/2)[]
Collaboration::
241-263: UNCOMMON
241-303: UNCOMMON
241-548: UNCOMMON</t>
  </si>
  <si>
    <t>Domain: Desktop
Ecosystem: .NET
Language: C#
Match:
DOM: M (0/1)[] S (0/1)[] C (1/1)[desktop]
ECO: M (0/1)[] S (0/2)[] C (0/1)[]
LING: M (0/1)[] S (0/2)[] C (1/2)[c#]
Collaboration::
303-241: UNCOMMON
303-263: UNCOMMON
303-548: UNCOMMON</t>
  </si>
  <si>
    <t>Domain: Mobile
Ecosystem: iOS/iPadOS
Language: Swift
Match:
DOM: M (0/1)[] S (0/1)[] C (0/1)[]
ECO: M (0/1)[] S (0/2)[] C (0/1)[]
LING: M (0/1)[] S (0/2)[] C (0/2)[]
Collaboration::
548-241: UNCOMMON
548-263: UNCOMMON
548-303: UNCOMMON</t>
  </si>
  <si>
    <t>P4-TEAM2</t>
  </si>
  <si>
    <t>DOM M(1/1)[web] S(0/1)[] C(0/1)[] | ECO M(0/1)[] S(1/2)[react] C(0/1)[] | LING M(1/1)[javascript] S(0/2)[] C(0/2)[]</t>
  </si>
  <si>
    <t>Domain: IoT, Web
Ecosystem: iOS/iPadOS
Language: JSON, JavaScript
Match:
DOM: M (1/1)[web] S (0/1)[] C (0/1)[]
ECO: M (0/1)[] S (0/2)[] C (0/1)[]
LING: M (1/1)[javascript] S (0/2)[] C (0/2)[]
Collaboration::
145-38: UNCOMMON
145-225: UNCOMMON
145-263: P179(,osf=0.489,slf=0.711); P201(,osf=0.535,slf=0.596)</t>
  </si>
  <si>
    <t>Domain: Web
Ecosystem: iOS/iPadOS
Language: nan
Match:
DOM: M (1/1)[web] S (0/1)[] C (0/1)[]
ECO: M (0/1)[] S (0/2)[] C (0/1)[]
LING: M (0/1)[] S (0/2)[] C (0/2)[]
Collaboration::
38-145: UNCOMMON
38-225: P82(,osf=0.567,slf=0.737)
38-263: UNCOMMON</t>
  </si>
  <si>
    <t>Domain: Web
Ecosystem: React
Language: JavaScript
Match:
DOM: M (1/1)[web] S (0/1)[] C (0/1)[]
ECO: M (0/1)[] S (1/2)[react] C (0/1)[]
LING: M (1/1)[javascript] S (0/2)[] C (0/2)[]
Collaboration::
225-38: P82(,osf=0.567,slf=0.737)
225-145: UNCOMMON
225-263: UNCOMMON</t>
  </si>
  <si>
    <t>Domain: Web
Ecosystem: Vue
Language: JavaScript
Match:
DOM: M (1/1)[web] S (0/1)[] C (0/1)[]
ECO: M (0/1)[] S (0/2)[] C (0/1)[]
LING: M (1/1)[javascript] S (0/2)[] C (0/2)[]
Collaboration::
263-38: UNCOMMON
263-145: UNCOMMON
263-225: UNCOMMON</t>
  </si>
  <si>
    <t>P4-TEAM3</t>
  </si>
  <si>
    <t>DOM M(1/1)[web] S(1/1)[cloud] C(0/1)[] | ECO M(0/1)[] S(1/2)[react] C(1/1)[aws lambda] | LING M(1/1)[javascript] S(1/2)[python] C(1/2)[java]</t>
  </si>
  <si>
    <t>Domain: Web
Ecosystem: Spring Boot
Language: Java
Match:
DOM: M (1/1)[web] S (0/1)[] C (0/1)[]
ECO: M (0/1)[] S (0/2)[] C (0/1)[]
LING: M (0/1)[] S (0/2)[] C (1/2)[java]
Collaboration::
193-7: P82(,osf=0.567,slf=0.737); P85(,osf=0.784,slf=0.538) | 193-119: P82(,osf=0.567,slf=0.737) | 193-194: P82(,osf=0.567,slf=0.737); P85(,osf=0.784,slf=0.538) | 193-399: P82(,osf=0.567,slf=0.737); P85(,osf=0.784,slf=0.538)
193-154: UNCOMMON
193-194: UNCOMMON</t>
  </si>
  <si>
    <t>Domain: Mobile
Ecosystem: Android
Language: Kotlin
Match:
DOM: M (0/1)[] S (0/1)[] C (0/1)[]
ECO: M (0/1)[] S (0/2)[] C (0/1)[]
LING: M (0/1)[] S (0/2)[] C (0/2)[]
Collaboration::
194-7: P40(,osf=0.733,slf=0.373); P82(,osf=0.567,slf=0.737); P85(,osf=0.784,slf=0.538) | 194-193: P82(,osf=0.567,slf=0.737); P85(,osf=0.784,slf=0.538)
194-154: UNCOMMON
194-193: UNCOMMON</t>
  </si>
  <si>
    <t>Domain: Web
Ecosystem: React
Language: JavaScript
Match:
DOM: M (1/1)[web] S (0/1)[] C (0/1)[]
ECO: M (0/1)[] S (1/2)[react] C (0/1)[]
LING: M (1/1)[javascript] S (0/2)[] C (0/2)[]
Collaboration::
7-154: UNCOMMON
7-193: P82(,osf=0.567,slf=0.737); P85(,osf=0.784,slf=0.538) | 7-194: P40(,osf=0.733,slf=0.373); P82(,osf=0.567,slf=0.737); P85(,osf=0.784,slf=0.538)
7-194: UNCOMMON</t>
  </si>
  <si>
    <t>Domain: Cloud
Ecosystem: AWS Lambda
Language: Python
Match:
DOM: M (0/1)[] S (1/1)[cloud] C (0/1)[]
ECO: M (0/1)[] S (0/2)[] C (1/1)[aws lambda]
LING: M (0/1)[] S (1/2)[python] C (0/2)[]
Collaboration::
154-7: UNCOMMON
154-193: UNCOMMON
154-194: UNCOMMON</t>
  </si>
  <si>
    <t>P4-TEAM4</t>
  </si>
  <si>
    <t>DOM M(1/1)[web] S(1/1)[cloud] C(0/1)[] | ECO M(0/1)[] S(1/2)[angular] C(1/1)[aws lambda] | LING M(0/1)[] S(2/2)[typescript, python] C(0/2)[]</t>
  </si>
  <si>
    <t>Domain: Cloud
Ecosystem: AWS Lambda
Language: Python
Match:
DOM: M (0/1)[] S (1/1)[cloud] C (0/1)[]
ECO: M (0/1)[] S (0/2)[] C (1/1)[aws lambda]
LING: M (0/1)[] S (1/2)[python] C (0/2)[]
Collaboration::
438-104: UNCOMMON
438-270: P82(,osf=0.567,slf=0.737) | 438-293: P124(,osf=0.678,slf=0.507); P152(,osf=0.337,slf=0.880) | 438-558: P85(,osf=0.784,slf=0.538)
438-293: UNCOMMON</t>
  </si>
  <si>
    <t>Domain: Web
Ecosystem: Angular
Language: TypeScript
Match:
DOM: M (1/1)[web] S (0/1)[] C (0/1)[]
ECO: M (0/1)[] S (1/2)[angular] C (0/1)[]
LING: M (0/1)[] S (1/2)[typescript] C (0/2)[]
Collaboration::
270-104: UNCOMMON
270-293: UNCOMMON
270-438: UNCOMMON</t>
  </si>
  <si>
    <t>Domain: Mobile
Ecosystem: Android
Language: Kotlin
Match:
DOM: M (0/1)[] S (0/1)[] C (0/1)[]
ECO: M (0/1)[] S (0/2)[] C (0/1)[]
LING: M (0/1)[] S (0/2)[] C (0/2)[]
Collaboration::
104-270: UNCOMMON
104-293: UNCOMMON
104-438: UNCOMMON</t>
  </si>
  <si>
    <t>Domain: Web
Ecosystem: Angular
Language: TypeScript
Match:
DOM: M (1/1)[web] S (0/1)[] C (0/1)[]
ECO: M (0/1)[] S (1/2)[angular] C (0/1)[]
LING: M (0/1)[] S (1/2)[typescript] C (0/2)[]
Collaboration::
293-104: UNCOMMON
293-270: UNCOMMON
293-438: P124(,osf=0.678,slf=0.507); P152(,osf=0.337,slf=0.880)</t>
  </si>
  <si>
    <t>P4-TEAM5</t>
  </si>
  <si>
    <t>DOM M(1/1)[web] S(0/1)[] C(0/1)[] | ECO M(1/1)[mongodb] S(0/2)[] C(0/1)[] | LING M(1/1)[javascript] S(0/2)[] C(0/2)[]</t>
  </si>
  <si>
    <t>Domain: Web
Ecosystem: Vue
Language: JavaScript
Match:
DOM: M (1/1)[web] S (0/1)[] C (0/1)[]
ECO: M (0/1)[] S (0/2)[] C (0/1)[]
LING: M (1/1)[javascript] S (0/2)[] C (0/2)[]
Collaboration::
198-62: UNCOMMON
198-415: P82(,osf=0.567,slf=0.737)
198-559: UNCOMMON</t>
  </si>
  <si>
    <t>Domain: Web
Ecosystem: Vue
Language: JavaScript
Match:
DOM: M (1/1)[web] S (0/1)[] C (0/1)[]
ECO: M (0/1)[] S (0/2)[] C (0/1)[]
LING: M (1/1)[javascript] S (0/2)[] C (0/2)[]
Collaboration::
415-62: P85(,osf=0.784,slf=0.538) | 415-198: P82(,osf=0.567,slf=0.737)
415-198: UNCOMMON
415-559: UNCOMMON</t>
  </si>
  <si>
    <t>Domain: nan
Ecosystem: MongoDB, iOS/iPadOS
Language: nan
Match:
DOM: M (0/1)[] S (0/1)[] C (0/1)[]
ECO: M (1/1)[mongodb] S (0/2)[] C (0/1)[]
LING: M (0/1)[] S (0/2)[] C (0/2)[]
Collaboration::
62-198: UNCOMMON
62-415: P85(,osf=0.784,slf=0.538)
62-559: UNCOMMON</t>
  </si>
  <si>
    <t>Domain: Mobile
Ecosystem: Android
Language: Kotlin
Match:
DOM: M (0/1)[] S (0/1)[] C (0/1)[]
ECO: M (0/1)[] S (0/2)[] C (0/1)[]
LING: M (0/1)[] S (0/2)[] C (0/2)[]
Collaboration::
559-62: UNCOMMON
559-198: UNCOMMON
559-415: UNCOMMON</t>
  </si>
  <si>
    <t>P5-TEAM1</t>
  </si>
  <si>
    <t>DOM M(1/2)[web] S(0/1)[] C(1/1)[desktop] | ECO M(1/3)[react] S(1/1)[.net] C(0/1)[] | LING M(1/3)[javascript] S(2/2)[c#, java] C(0/2)[]</t>
  </si>
  <si>
    <t>Domain: Web
Ecosystem: Vue
Language: JavaScript
Match:
DOM: M (1/2)[web] S (0/1)[] C (0/1)[]
ECO: M (0/3)[] S (0/1)[] C (0/1)[]
LING: M (1/3)[javascript] S (0/2)[] C (0/2)[]
Collaboration::
174-169: UNCOMMON
174-265: UNCOMMON
174-524: UNCOMMON</t>
  </si>
  <si>
    <t>Domain: Web
Ecosystem: Spring Boot
Language: Java
Match:
DOM: M (1/2)[web] S (0/1)[] C (0/1)[]
ECO: M (0/3)[] S (0/1)[] C (0/1)[]
LING: M (0/3)[] S (1/2)[java] C (0/2)[]
Collaboration::
265-169: UNCOMMON
265-174: UNCOMMON
265-524: UNCOMMON</t>
  </si>
  <si>
    <t>Domain: Desktop
Ecosystem: .NET
Language: C#
Match:
DOM: M (0/2)[] S (0/1)[] C (1/1)[desktop]
ECO: M (0/3)[] S (1/1)[.net] C (0/1)[]
LING: M (0/3)[] S (1/2)[c#] C (0/2)[]
Collaboration::
524-169: UNCOMMON
524-174: UNCOMMON
524-265: UNCOMMON</t>
  </si>
  <si>
    <t>Domain: Web
Ecosystem: React
Language: JavaScript
Match:
DOM: M (1/2)[web] S (0/1)[] C (0/1)[]
ECO: M (1/3)[react] S (0/1)[] C (0/1)[]
LING: M (1/3)[javascript] S (0/2)[] C (0/2)[]
Collaboration::
169-174: UNCOMMON
169-265: UNCOMMON
169-524: UNCOMMON</t>
  </si>
  <si>
    <t>DOM  M[Web, Cloud] S[Mobile] C[Desktop]
ECO  M[React, AWS Lambda, MongoDB] S[.NET] C[Android]
LING M[JavaScript, TypeScript, Python] S[C#, Java] C[Kotlin, Swift]</t>
  </si>
  <si>
    <t>P5-TEAM2</t>
  </si>
  <si>
    <t>DOM M(2/2)[web, cloud] S(1/1)[mobile] C(0/1)[] | ECO M(2/3)[react, aws lambda] S(0/1)[] C(1/1)[android] | LING M(2/3)[javascript, python] S(0/2)[] C(1/2)[kotlin]</t>
  </si>
  <si>
    <t>Domain: Cloud
Ecosystem: AWS Lambda
Language: Python
Match:
DOM: M (1/2)[cloud] S (0/1)[] C (0/1)[]
ECO: M (1/3)[aws lambda] S (0/1)[] C (0/1)[]
LING: M (1/3)[python] S (0/2)[] C (0/2)[]
Collaboration::
438-297: UNCOMMON
438-461: UNCOMMON
438-558: UNCOMMON</t>
  </si>
  <si>
    <t>Domain: Mobile
Ecosystem: Android
Language: Kotlin
Match:
DOM: M (0/2)[] S (1/1)[mobile] C (0/1)[]
ECO: M (0/3)[] S (0/1)[] C (1/1)[android]
LING: M (0/3)[] S (0/2)[] C (1/2)[kotlin]
Collaboration::
558-297: UNCOMMON
558-438: P85(,osf=0.784,slf=0.538) | 558-461: P183(,osf=0.476,slf=0.842); P184(,osf=0.615,slf=0.450); P188(,osf=0.655,slf=0.631); P219(,osf=0.351,slf=0.534); P269(,osf=0.400,slf=0.408); P274(,osf=0.411,slf=0.591)
558-461: UNCOMMON</t>
  </si>
  <si>
    <t>Domain: Web
Ecosystem: React
Language: JavaScript
Match:
DOM: M (1/2)[web] S (0/1)[] C (0/1)[]
ECO: M (1/3)[react] S (0/1)[] C (0/1)[]
LING: M (1/3)[javascript] S (0/2)[] C (0/2)[]
Collaboration::
461-297: UNCOMMON
461-438: UNCOMMON
461-558: P183(,osf=0.476,slf=0.842); P184(,osf=0.615,slf=0.450); P188(,osf=0.655,slf=0.631); P219(,osf=0.351,slf=0.534); P269(,osf=0.400,slf=0.408); P274(,osf=0.411,slf=0.591)</t>
  </si>
  <si>
    <t>Domain: Web
Ecosystem: Node.js
Language: JavaScript
Match:
DOM: M (1/2)[web] S (0/1)[] C (0/1)[]
ECO: M (0/3)[] S (0/1)[] C (0/1)[]
LING: M (1/3)[javascript] S (0/2)[] C (0/2)[]
Collaboration::
297-438: UNCOMMON
297-461: UNCOMMON
297-558: UNCOMMON</t>
  </si>
  <si>
    <t>P5-TEAM3</t>
  </si>
  <si>
    <t>DOM M(2/2)[web, cloud] S(1/1)[mobile] C(0/1)[] | ECO M(2/3)[react, aws lambda] S(0/1)[] C(1/1)[android] | LING M(2/3)[javascript, python] S(0/2)[] C(2/2)[kotlin, swift]</t>
  </si>
  <si>
    <t>Domain: Mobile
Ecosystem: Android
Language: Kotlin
Match:
DOM: M (0/2)[] S (1/1)[mobile] C (0/1)[]
ECO: M (0/3)[] S (0/1)[] C (1/1)[android]
LING: M (0/3)[] S (0/2)[] C (1/2)[kotlin]
Collaboration::
324-250: UNCOMMON
324-370: UNCOMMON
324-439: UNCOMMON</t>
  </si>
  <si>
    <t>Domain: Web
Ecosystem: React
Language: JavaScript
Match:
DOM: M (1/2)[web] S (0/1)[] C (0/1)[]
ECO: M (1/3)[react] S (0/1)[] C (0/1)[]
LING: M (1/3)[javascript] S (0/2)[] C (0/2)[]
Collaboration::
439-250: UNCOMMON
439-324: UNCOMMON
439-370: UNCOMMON</t>
  </si>
  <si>
    <t>Domain: Mobile
Ecosystem: iOS/iPadOS
Language: Swift
Match:
DOM: M (0/2)[] S (1/1)[mobile] C (0/1)[]
ECO: M (0/3)[] S (0/1)[] C (0/1)[]
LING: M (0/3)[] S (0/2)[] C (1/2)[swift]
Collaboration::
370-250: UNCOMMON
370-324: UNCOMMON
370-439: UNCOMMON</t>
  </si>
  <si>
    <t>Domain: Cloud
Ecosystem: AWS Lambda
Language: Python
Match:
DOM: M (1/2)[cloud] S (0/1)[] C (0/1)[]
ECO: M (1/3)[aws lambda] S (0/1)[] C (0/1)[]
LING: M (1/3)[python] S (0/2)[] C (0/2)[]
Collaboration::
250-324: UNCOMMON
250-370: UNCOMMON
250-439: UNCOMMON</t>
  </si>
  <si>
    <t>P5-TEAM4</t>
  </si>
  <si>
    <t>DOM M(1/2)[cloud] S(1/1)[mobile] C(0/1)[] | ECO M(1/3)[aws lambda] S(0/1)[] C(1/1)[android] | LING M(1/3)[python] S(0/2)[] C(2/2)[kotlin, swift]</t>
  </si>
  <si>
    <t>Domain: Mobile
Ecosystem: iOS/iPadOS
Language: Swift
Match:
DOM: M (0/2)[] S (1/1)[mobile] C (0/1)[]
ECO: M (0/3)[] S (0/1)[] C (0/1)[]
LING: M (0/3)[] S (0/2)[] C (1/2)[swift]
Collaboration::
331-36: UNCOMMON
331-181: UNCOMMON
331-494: UNCOMMON</t>
  </si>
  <si>
    <t>Domain: Mobile
Ecosystem: Android
Language: Kotlin
Match:
DOM: M (0/2)[] S (1/1)[mobile] C (0/1)[]
ECO: M (0/3)[] S (0/1)[] C (1/1)[android]
LING: M (0/3)[] S (0/2)[] C (1/2)[kotlin]
Collaboration::
36-181: P82(,osf=0.567,slf=0.737)
36-331: UNCOMMON
36-494: UNCOMMON</t>
  </si>
  <si>
    <t>Domain: Cloud
Ecosystem: AWS Lambda
Language: Python
Match:
DOM: M (1/2)[cloud] S (0/1)[] C (0/1)[]
ECO: M (1/3)[aws lambda] S (0/1)[] C (0/1)[]
LING: M (1/3)[python] S (0/2)[] C (0/2)[]
Collaboration::
181-36: P82(,osf=0.567,slf=0.737)
181-331: UNCOMMON
181-494: UNCOMMON</t>
  </si>
  <si>
    <t>Domain: Cloud
Ecosystem: AWS Lambda
Language: Python
Match:
DOM: M (1/2)[cloud] S (0/1)[] C (0/1)[]
ECO: M (1/3)[aws lambda] S (0/1)[] C (0/1)[]
LING: M (1/3)[python] S (0/2)[] C (0/2)[]
Collaboration::
494-36: UNCOMMON
494-181: UNCOMMON
494-331: UNCOMMON</t>
  </si>
  <si>
    <t>P5-TEAM5</t>
  </si>
  <si>
    <t>DOM M(1/2)[web] S(1/1)[mobile] C(0/1)[] | ECO M(0/3)[] S(0/1)[] C(1/1)[android] | LING M(2/3)[javascript, typescript] S(0/2)[] C(1/2)[kotlin]</t>
  </si>
  <si>
    <t>Domain: Web
Ecosystem: Angular
Language: TypeScript
Match:
DOM: M (1/2)[web] S (0/1)[] C (0/1)[]
ECO: M (0/3)[] S (0/1)[] C (0/1)[]
LING: M (1/3)[typescript] S (0/2)[] C (0/2)[]
Collaboration::
479-316: UNCOMMON
479-357: UNCOMMON
479-389: UNCOMMON</t>
  </si>
  <si>
    <t>Domain: Mobile
Ecosystem: Android
Language: Kotlin
Match:
DOM: M (0/2)[] S (1/1)[mobile] C (0/1)[]
ECO: M (0/3)[] S (0/1)[] C (1/1)[android]
LING: M (0/3)[] S (0/2)[] C (1/2)[kotlin]
Collaboration::
389-316: UNCOMMON
389-357: UNCOMMON
389-479: UNCOMMON</t>
  </si>
  <si>
    <t>Domain: Web
Ecosystem: Node.js
Language: JavaScript
Match:
DOM: M (1/2)[web] S (0/1)[] C (0/1)[]
ECO: M (0/3)[] S (0/1)[] C (0/1)[]
LING: M (1/3)[javascript] S (0/2)[] C (0/2)[]
Collaboration::
357-316: UNCOMMON
357-389: UNCOMMON
357-479: UNCOMMON</t>
  </si>
  <si>
    <t>Domain: Web
Ecosystem: Node.js
Language: JavaScript
Match:
DOM: M (1/2)[web] S (0/1)[] C (0/1)[]
ECO: M (0/3)[] S (0/1)[] C (0/1)[]
LING: M (1/3)[javascript] S (0/2)[] C (0/2)[]
Collaboration::
316-357: UNCOMMON
316-389: UNCOMMON
316-479: UNCOMMON</t>
  </si>
  <si>
    <t>P6-TEAM1</t>
  </si>
  <si>
    <t>DOM M(2/2)[hardware, embedded] S(1/1)[iot] C(1/1)[cloud] | ECO M(2/2)[pcb, desenvolvimento de placa] S(1/1)[eletrônica (circuitos lógicos e analógicos)] C(2/2)[instrumentação (osciloscópio, analisador lógico), prototipação] | LING M(1/1)[c] S(1/1)[c++] C(1/1)[python]</t>
  </si>
  <si>
    <t>Domain: IoT, Web, Embedded
Ecosystem: iOS/iPadOS, PCB, Prototipação
Language: C++, Java, C
Match:
DOM: M (1/2)[embedded] S (1/1)[iot] C (0/1)[]
ECO: M (1/2)[pcb] S (0/1)[] C (1/2)[prototipação]
LING: M (1/1)[c] S (1/1)[c++] C (0/1)[]
Collaboration::
65-71: UNCOMMON
65-63: UNCOMMON
65-261: P11(osf=0.460,slf=0.781); P76(osf=0.821,slf=0.637); P118(osf=0.593,slf=0.504)</t>
  </si>
  <si>
    <t>Domain: IoT, Web, Hardware
Ecosystem: iOS/iPadOS, Desenvolvimento de Placa
Language: HTML, JavaScript, Python, C
Match:
DOM: M (1/2)[hardware] S (1/1)[iot] C (0/1)[]
ECO: M (1/2)[desenvolvimento de placa] S (0/1)[] C (0/2)[]
LING: M (1/1)[c] S (0/1)[] C (1/1)[python]
Collaboration::
71-63: UNCOMMON
71-65: UNCOMMON
71-261: UNCOMMON</t>
  </si>
  <si>
    <t>Domain: IoT
Ecosystem: Eletrônica (circuitos lógicos e analógicos)
Language: Lua, Java
Match:
DOM: M (0/2)[] S (1/1)[iot] C (0/1)[]
ECO: M (0/2)[] S (1/1)[eletrônica (circuitos lógicos e analógicos)] C (0/2)[]
LING: M (0/1)[] S (0/1)[] C (0/1)[]
Collaboration::
63-71: UNCOMMON
63-65: UNCOMMON
63-261: UNCOMMON</t>
  </si>
  <si>
    <t>Domain: Cloud
Ecosystem: AWS Lambda, Instrumentação (osciloscópio, analisador lógico)
Language: Python
Match:
DOM: M (0/2)[] S (0/1)[] C (1/1)[cloud]
ECO: M (0/2)[] S (0/1)[] C (1/2)[instrumentação (osciloscópio, analisador lógico)]
LING: M (0/1)[] S (0/1)[] C (1/1)[python]
Collaboration::
261-71: UNCOMMON
261-63: UNCOMMON
261-65: P76(osf=0.821,slf=0.637); P11(osf=0.460,slf=0.781); P118(osf=0.593,slf=0.504)</t>
  </si>
  <si>
    <t>"DOM M[Hardware, Embedded] S[IoT] C[Cloud]
ECO M[PCB, Board Development] S[Electronics (logic and analog circuits)] C[Instrumentation (oscilloscope, logic analyzer), Prototyping]
LING M[C] S[C++] C[Python]"</t>
  </si>
  <si>
    <t>P6-TEAM2</t>
  </si>
  <si>
    <t>Domain: Web, Embedded
Ecosystem: React, PCB
Language: JavaScript, C
Match:
DOM: M (1/2)[embedded] S (0/1)[] C (0/1)[]
ECO: M (1/2)[pcb] S (0/1)[] C (0/2)[]
LING: M (1/1)[c] S (0/1)[] C (0/1)[]
Collaboration::
508-36: UNCOMMON
508-193: UNCOMMON
508-335: UNCOMMON</t>
  </si>
  <si>
    <t>Domain: Web, Hardware
Ecosystem: Spring Boot, Desenvolvimento de Placa
Language: Java, C++, Python
Match:
DOM: M (1/2)[hardware] S (0/1)[] C (0/1)[]
ECO: M (1/2)[desenvolvimento de placa] S (0/1)[] C (0/2)[]
LING: M (0/1)[] S (1/1)[c++] C (1/1)[python]
Collaboration::
193-36: UNCOMMON
193-335: UNCOMMON
193-508: UNCOMMON</t>
  </si>
  <si>
    <t>Domain: Mobile, IoT
Ecosystem: Android, Eletrônica (circuitos lógicos e analógicos), Prototipação
Language: Kotlin, C++
Match:
DOM: M (0/2)[] S (1/1)[iot] C (0/1)[]
ECO: M (0/2)[] S (1/1)[eletrônica (circuitos lógicos e analógicos)] C (1/2)[prototipação]
LING: M (0/1)[] S (1/1)[c++] C (0/1)[]
Collaboration::
36-193: UNCOMMON
36-335: UNCOMMON
36-508: UNCOMMON</t>
  </si>
  <si>
    <t>Domain: Desktop, Cloud
Ecosystem: .NET, Instrumentação (osciloscópio, analisador lógico)
Language: C#, C
Match:
DOM: M (0/2)[] S (0/1)[] C (1/1)[cloud]
ECO: M (0/2)[] S (0/1)[] C (1/2)[instrumentação (osciloscópio, analisador lógico)]
LING: M (1/1)[c] S (0/1)[] C (0/1)[]
Collaboration::
335-508: P196(osf=0.888,slf=0.339)
335-193: P85(osf=0.784,slf=0.538); P82(osf=0.567,slf=0.737)
335-36: P82(osf=0.567,slf=0.737)</t>
  </si>
  <si>
    <t>P6-TEAM3</t>
  </si>
  <si>
    <t>Domain: Web, Embedded, Hardware
Ecosystem: Node.js, PCB
Language: JavaScript, C, C++
Match:
DOM: M (2/2)[hardware, embedded] S (0/1)[] C (0/1)[]
ECO: M (1/2)[pcb] S (0/1)[] C (0/2)[]
LING: M (1/1)[c] S (1/1)[c++] C (0/1)[]
Collaboration::
242-93: UNCOMMON
242-168: UNCOMMON
242-446: UNCOMMON</t>
  </si>
  <si>
    <t>Domain: Mobile, IoT
Ecosystem: Android, Eletrônica (circuitos lógicos e analógicos)
Language: Kotlin
Match:
DOM: M (0/2)[] S (1/1)[iot] C (0/1)[]
ECO: M (0/2)[] S (1/1)[eletrônica (circuitos lógicos e analógicos)] C (0/2)[]
LING: M (0/1)[] S (0/1)[] C (0/1)[]
Colaboração (somente com membros desta equipe [Dev242, Dev168, Dev446, Dev93]):
168-242: UNCOMMON
168-446: UNCOMMON
168-93: UNCOMMON</t>
  </si>
  <si>
    <t>Domain: Mobile
Ecosystem: Android, Desenvolvimento de Placa, Prototipação
Language: Kotlin
Match:
DOM: M (0/2)[] S (0/1)[] C (0/1)[]
ECO: M (1/2)[desenvolvimento de placa] S (0/1)[] C (1/2)[prototipação]
LING: M (0/1)[] S (0/1)[] C (0/1)[]
Collaboration::
446-93: UNCOMMON
446-168: UNCOMMON
446-242: UNCOMMON</t>
  </si>
  <si>
    <t>Domain: Desktop, Cloud
Ecosystem: .NET, Instrumentação (osciloscópio, analisador lógico)
Language: C#, Python
Match:
DOM: M (0/2)[] S (0/1)[] C (1/1)[cloud]
ECO: M (0/2)[] S (0/1)[] C (1/2)[instrumentação (osciloscópio, analisador lógico)]
LING: M (0/1)[] S (0/1)[] C (1/1)[python]
Collaboration::
93-168: UNCOMMON
93-242: UNCOMMON
93-446: UNCOMMON</t>
  </si>
  <si>
    <t>P6-TEAM4</t>
  </si>
  <si>
    <t>DOM M(0/2)[] S(0/1)[] C(0/1)[] | ECO M(0/2)[] S(0/1)[] C(0/3)[] | LING M(0/1)[] S(0/1)[] C(0/1)[]</t>
  </si>
  <si>
    <t>Domain: Web
 Ecosystem: React
 Language: JavaScript
 Match:
 DOM: M (0/2)[] S (0/1)[] C (0/1)[]
 ECO: M (0/2)[] S (0/1)[] C (0/2)[]
 LING: M (0/1)[] S (0/1)[] C (0/1)[]
 Colaboração (somente com membros desta equipe [Dev568, Dev463, Dev7, Dev498]):
 568-463: P184(osf=0.615,slf=0.450); P272(osf=0.487,slf=0.637); P274(osf=0.411,slf=0.591)
 568-7: UNCOMMON
 568-498: UNCOMMON</t>
  </si>
  <si>
    <t>Domain: Web
 Ecosystem: Vue
 Language: JavaScript
 Match:
 DOM: M (0/2)[] S (0/1)[] C (0/1)[]
 ECO: M (0/2)[] S (0/1)[] C (0/3)[]
 LING: M (0/1)[] S (0/1)[] C (0/1)[]
 Collaboration::
 463-7: UNCOMMON
 463-498: UNCOMMON
 463-568: UNCOMMON</t>
  </si>
  <si>
    <t>Domain: Web
 Ecosystem: React
 Language: JavaScript
 Match:
 DOM: M (0/2)[] S (0/1)[] C (0/1)[]
 ECO: M (0/2)[] S (0/1)[] C (0/3)[]
 LING: M (0/1)[] S (0/1)[] C (0/1)[]
 Collaboration::
 7-463: UNCOMMON
 7-498: UNCOMMON
 7-568: UNCOMMON</t>
  </si>
  <si>
    <t>Domain: Mobile
 Ecosystem: Android
 Language: Kotlin
 Match:
 DOM: M (0/2)[] S (0/1)[] C (0/1)[]
 ECO: M (0/2)[] S (0/1)[] C (0/2)[]
 LING: M (0/1)[] S (1/1)[kotlin] C (0/1)[]
 Colaboração (somente com membros desta equipe [Dev568, Dev463, Dev7, Dev498]):
 498-568: UNCOMMON
 498-463: P85(osf=0.784,slf=0.538); P82(osf=0.567,slf=0.737)
 498-7: P85(osf=0.784,slf=0.538); P82(osf=0.567,slf=0.737)</t>
  </si>
  <si>
    <t>P6-TEAM5</t>
  </si>
  <si>
    <t>Domain: Web
 Ecosystem: Spring Boot
 Language: Java
 Match:
 DOM: M (0/2)[] S (0/1)[] C (0/1)[]
 ECO: M (0/2)[] S (0/1)[] C (0/2)[]
 LING: M (0/1)[] S (0/1)[] C (0/1)[]
 Colaboração (somente com membros desta equipe [Dev498, Dev67, Dev94, Dev291]):
 67-498: UNCOMMON
 67-94: UNCOMMON
 67-291: UNCOMMON</t>
  </si>
  <si>
    <t>Domain: Web
 Ecosystem: Vue
 Language: JavaScript
 Match:
 DOM: M (0/2)[] S (0/1)[] C (0/1)[]
 ECO: M (0/2)[] S (0/1)[] C (0/2)[]
 LING: M (0/1)[] S (0/1)[] C (0/1)[]
 Colaboração (somente com membros desta equipe [Dev498, Dev67, Dev94, Dev291]):
 94-498: UNCOMMON
 94-67: UNCOMMON
 94-291: P82(osf=0.567,slf=0.737)</t>
  </si>
  <si>
    <t>Domain: Desktop
 Ecosystem: .NET
 Language: C#
 Match:
 DOM: M (0/2)[] S (0/1)[] C (0/1)[]
 ECO: M (0/2)[] S (0/1)[] C (0/2)[]
 LING: M (0/1)[] S (0/1)[] C (0/1)[]
 Colaboração (somente com membros desta equipe [Dev498, Dev67, Dev94, Dev291]):
 291-498: UNCOMMON
 291-67: UNCOMMON
 291-94: P82(osf=0.567,slf=0.737)</t>
  </si>
  <si>
    <t>Domain: Desktop
 Ecosystem: .NET
 Language: C#
 Match:
 DOM: M (0/2)[] S (0/1)[] C (0/1)[]
 ECO: M (0/2)[] S (0/1)[] C (0/3)[]
 LING: M (0/1)[] S (0/1)[] C (0/1)[]
 Collaboration::
 450-67: UNCOMMON
 450-94: UNCOMMON
 450-291: UNCOMMON</t>
  </si>
  <si>
    <t>-</t>
  </si>
  <si>
    <t>projeto_id</t>
  </si>
  <si>
    <t>team_id</t>
  </si>
  <si>
    <t>team_str</t>
  </si>
  <si>
    <t>ae_bn_mean</t>
  </si>
  <si>
    <t>rank_bn</t>
  </si>
  <si>
    <t>AT_cont</t>
  </si>
  <si>
    <t>AC_cont</t>
  </si>
  <si>
    <t>dist_AT</t>
  </si>
  <si>
    <t>dist_AC</t>
  </si>
  <si>
    <t>dist_AE</t>
  </si>
  <si>
    <t>pc_score</t>
  </si>
  <si>
    <t>pc_label</t>
  </si>
  <si>
    <t>domain_tier</t>
  </si>
  <si>
    <t>ecosystem_tier</t>
  </si>
  <si>
    <t>language_tier</t>
  </si>
  <si>
    <t>domain_score</t>
  </si>
  <si>
    <t>ecosystem_score</t>
  </si>
  <si>
    <t>language_score</t>
  </si>
  <si>
    <t>t_cpt_build_s</t>
  </si>
  <si>
    <t>t_dim_s</t>
  </si>
  <si>
    <t>t_pc_graph_s</t>
  </si>
  <si>
    <t>t_pc_transform_s</t>
  </si>
  <si>
    <t>t_infer_at_s</t>
  </si>
  <si>
    <t>t_infer_ae_s</t>
  </si>
  <si>
    <t>t_infer_total_s</t>
  </si>
  <si>
    <t>t_team_total_s</t>
  </si>
  <si>
    <t>t_project_total_s</t>
  </si>
  <si>
    <t>t_project_total_plus_cpt_s</t>
  </si>
  <si>
    <t>domain_m_total</t>
  </si>
  <si>
    <t>domain_m_covered</t>
  </si>
  <si>
    <t>domain_m_covered_list</t>
  </si>
  <si>
    <t>domain_s_total</t>
  </si>
  <si>
    <t>domain_s_covered</t>
  </si>
  <si>
    <t>domain_s_covered_list</t>
  </si>
  <si>
    <t>domain_c_total</t>
  </si>
  <si>
    <t>domain_c_covered</t>
  </si>
  <si>
    <t>domain_c_covered_list</t>
  </si>
  <si>
    <t>ecosystem_m_total</t>
  </si>
  <si>
    <t>ecosystem_m_covered</t>
  </si>
  <si>
    <t>ecosystem_m_covered_list</t>
  </si>
  <si>
    <t>ecosystem_s_total</t>
  </si>
  <si>
    <t>ecosystem_s_covered</t>
  </si>
  <si>
    <t>ecosystem_s_covered_list</t>
  </si>
  <si>
    <t>ecosystem_c_total</t>
  </si>
  <si>
    <t>ecosystem_c_covered</t>
  </si>
  <si>
    <t>ecosystem_c_covered_list</t>
  </si>
  <si>
    <t>language_m_total</t>
  </si>
  <si>
    <t>language_m_covered</t>
  </si>
  <si>
    <t>language_m_covered_list</t>
  </si>
  <si>
    <t>language_s_total</t>
  </si>
  <si>
    <t>language_s_covered</t>
  </si>
  <si>
    <t>language_s_covered_list</t>
  </si>
  <si>
    <t>language_c_total</t>
  </si>
  <si>
    <t>language_c_covered</t>
  </si>
  <si>
    <t>language_c_covered_list</t>
  </si>
  <si>
    <t>P1-TEAM0</t>
  </si>
  <si>
    <t>[Dev169;Dev27;Dev81;Dev363]</t>
  </si>
  <si>
    <t>0.746058,0.253940,0.000002,0.000000,0.000000</t>
  </si>
  <si>
    <t>0.000000,1.000000,0.000000,0.000000,0.000000</t>
  </si>
  <si>
    <t>0.683021,0.311090,0.005890,0.000000,0.000000</t>
  </si>
  <si>
    <t>L</t>
  </si>
  <si>
    <t>VL</t>
  </si>
  <si>
    <t>web</t>
  </si>
  <si>
    <t>mobile</t>
  </si>
  <si>
    <t>react</t>
  </si>
  <si>
    <t>javascript</t>
  </si>
  <si>
    <t>[Dev71;Dev518;Dev509;Dev439]</t>
  </si>
  <si>
    <t>0.976598,0.023402,0.000000,0.000000,0.000000</t>
  </si>
  <si>
    <t>1.000000,0.000000,0.000000,0.000000,0.000000</t>
  </si>
  <si>
    <t>0.965397,0.034603,0.000001,0.000000,0.000000</t>
  </si>
  <si>
    <t>javascript,typescript</t>
  </si>
  <si>
    <t>python</t>
  </si>
  <si>
    <t>[Dev205;Dev526;Dev363;Dev447]</t>
  </si>
  <si>
    <t>0.887185,0.112272,0.000543,0.000000,0.000000</t>
  </si>
  <si>
    <t>[Dev33;Dev303;Dev270;Dev93]</t>
  </si>
  <si>
    <t>0.000000,0.000000,0.000080,0.588534,0.411386</t>
  </si>
  <si>
    <t>0.000000,0.013369,0.766883,0.219735,0.000013</t>
  </si>
  <si>
    <t>H</t>
  </si>
  <si>
    <t>M</t>
  </si>
  <si>
    <t>VH</t>
  </si>
  <si>
    <t>desktop,web</t>
  </si>
  <si>
    <t>cloud</t>
  </si>
  <si>
    <t>.net</t>
  </si>
  <si>
    <t>c#</t>
  </si>
  <si>
    <t>[Dev316;Dev389;Dev526;Dev308]</t>
  </si>
  <si>
    <t>0.855042,0.144949,0.000008,0.000000,0.000000</t>
  </si>
  <si>
    <t>P2-TEAM0</t>
  </si>
  <si>
    <t>[Dev466;Dev93;Dev437;Dev292]</t>
  </si>
  <si>
    <t>0.252112,0.747457,0.000431,0.000000,0.000000</t>
  </si>
  <si>
    <t>0.000000,0.000000,1.000000,0.000000,0.000000</t>
  </si>
  <si>
    <t>0.191098,0.739495,0.069397,0.000010,0.000000</t>
  </si>
  <si>
    <t>swift</t>
  </si>
  <si>
    <t>[Dev270;Dev411;Dev479;Dev503]</t>
  </si>
  <si>
    <t>0.729460,0.268379,0.002161,0.000000,0.000000</t>
  </si>
  <si>
    <t>java</t>
  </si>
  <si>
    <t>[Dev115;Dev119;Dev399;Dev193]</t>
  </si>
  <si>
    <t>c#,java</t>
  </si>
  <si>
    <t>[Dev468;Dev263;Dev503;Dev5]</t>
  </si>
  <si>
    <t>android</t>
  </si>
  <si>
    <t>kotlin</t>
  </si>
  <si>
    <t>[Dev104;Dev363;Dev544;Dev81]</t>
  </si>
  <si>
    <t>0.000000,0.059900,0.932845,0.007255,0.000000</t>
  </si>
  <si>
    <t>0.001366,0.522405,0.476033,0.000196,0.000000</t>
  </si>
  <si>
    <t>kotlin,swift</t>
  </si>
  <si>
    <t>P3-TEAM0</t>
  </si>
  <si>
    <t>[Dev423;Dev558;Dev494;Dev391]</t>
  </si>
  <si>
    <t>0.000418,0.744821,0.254759,0.000002,0.000000</t>
  </si>
  <si>
    <t>0.017010,0.837974,0.145007,0.000008,0.000000</t>
  </si>
  <si>
    <t>aws lambda</t>
  </si>
  <si>
    <t>[Dev104;Dev446;Dev152;Dev465]</t>
  </si>
  <si>
    <t>[Dev362;Dev242;Dev450;Dev161]</t>
  </si>
  <si>
    <t>desktop</t>
  </si>
  <si>
    <t>c++</t>
  </si>
  <si>
    <t>[Dev362;Dev354;Dev495;Dev458]</t>
  </si>
  <si>
    <t>[Dev439;Dev16;Dev209;Dev463]</t>
  </si>
  <si>
    <t>P4-TEAM0</t>
  </si>
  <si>
    <t>[Dev263;Dev241;Dev303;Dev548]</t>
  </si>
  <si>
    <t>0.000000,0.000000,0.022857,0.954499,0.022644</t>
  </si>
  <si>
    <t>0.000549,0.499784,0.499120,0.000546,0.000000</t>
  </si>
  <si>
    <t>[Dev145;Dev38;Dev225;Dev263]</t>
  </si>
  <si>
    <t>0.000000,0.133387,0.864683,0.001929,0.000000</t>
  </si>
  <si>
    <t>0.003004,0.558446,0.438478,0.000072,0.000000</t>
  </si>
  <si>
    <t>[Dev193;Dev194;Dev7;Dev154]</t>
  </si>
  <si>
    <t>0.000000,0.059379,0.933277,0.007344,0.000000</t>
  </si>
  <si>
    <t>0.000223,0.074956,0.899971,0.024850,0.000000</t>
  </si>
  <si>
    <t>[Dev438;Dev270;Dev104;Dev293]</t>
  </si>
  <si>
    <t>0.000427,0.746691,0.252880,0.000002,0.000000</t>
  </si>
  <si>
    <t>0.017060,0.838823,0.144108,0.000008,0.000000</t>
  </si>
  <si>
    <t>angular</t>
  </si>
  <si>
    <t>python,typescript</t>
  </si>
  <si>
    <t>[Dev198;Dev415;Dev62;Dev559]</t>
  </si>
  <si>
    <t>mongodb</t>
  </si>
  <si>
    <t>P5-TEAM0</t>
  </si>
  <si>
    <t>[Dev174;Dev265;Dev524;Dev169]</t>
  </si>
  <si>
    <t>[Dev438;Dev558;Dev461;Dev297]</t>
  </si>
  <si>
    <t>0.000001,0.251144,0.748419,0.000436,0.000000</t>
  </si>
  <si>
    <t>0.005630,0.612847,0.381489,0.000034,0.000000</t>
  </si>
  <si>
    <t>cloud,web</t>
  </si>
  <si>
    <t>aws lambda,react</t>
  </si>
  <si>
    <t>javascript,python</t>
  </si>
  <si>
    <t>[Dev324;Dev439;Dev370;Dev250]</t>
  </si>
  <si>
    <t>0.000421,0.745465,0.254113,0.000002,0.000000</t>
  </si>
  <si>
    <t>0.377368,0.616817,0.005815,0.000000,0.000000</t>
  </si>
  <si>
    <t>[Dev331;Dev36;Dev181;Dev494]</t>
  </si>
  <si>
    <t>[Dev479;Dev389;Dev357;Dev316]</t>
  </si>
  <si>
    <t>0.059028,0.933567,0.007405,0.000000,0.000000</t>
  </si>
  <si>
    <t>0.522661,0.477140,0.000199,0.000000,0.000000</t>
  </si>
  <si>
    <t>P6-TEAM0</t>
  </si>
  <si>
    <t>[Dev65;Dev71;Dev63;Dev261]</t>
  </si>
  <si>
    <t>0.245577,0.736874,0.017549,0.000000,0.000000</t>
  </si>
  <si>
    <t>embedded,hardware</t>
  </si>
  <si>
    <t>iot</t>
  </si>
  <si>
    <t>desenvolvimento de placa,pcb</t>
  </si>
  <si>
    <t>eletrônica (circuitos lógicos e analógicos)</t>
  </si>
  <si>
    <t>analisador lógico),instrumentação (osciloscópio,prototipação</t>
  </si>
  <si>
    <t>c</t>
  </si>
  <si>
    <t>[Dev508;Dev193;Dev36;Dev335]</t>
  </si>
  <si>
    <t>[Dev242;Dev168;Dev446;Dev93]</t>
  </si>
  <si>
    <t>[Dev568;Dev463;Dev7;Dev498]</t>
  </si>
  <si>
    <t>[Dev67;Dev94;Dev291;Dev450]</t>
  </si>
  <si>
    <t xml:space="preserve">AE BN mean </t>
  </si>
  <si>
    <t>rank_expert</t>
  </si>
  <si>
    <t>Worst</t>
  </si>
  <si>
    <t>Best</t>
  </si>
  <si>
    <t>The expert's best player came in 2nd at RB.</t>
  </si>
  <si>
    <t>The worst performer from the expert was tied for 2nd place at RB.</t>
  </si>
  <si>
    <t>The worst result was that with 4 teams having very poor coverage, it became a difficult scenario to evaluate because RB assessed all 4 teams with the same score (0.11), meaning there wasn't much diversification.</t>
  </si>
  <si>
    <t>It wasn't the worst, but it was the second worst team in RB.</t>
  </si>
  <si>
    <t>The expert defined two teams as equally being the worst; RB agreed that these two teams are the worst, but one is slightly better than the other (a difference of only 0.03).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</si>
</sst>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/>
    <font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</fills>
  <borders count="6">
    <border/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left style="thin">
        <color rgb="FFB7B7B7"/>
      </left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center" vertical="bottom"/>
    </xf>
    <xf borderId="0" fillId="3" fontId="3" numFmtId="0" xfId="0" applyFill="1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3" fontId="1" numFmtId="0" xfId="0" applyAlignment="1" applyFont="1">
      <alignment readingOrder="0"/>
    </xf>
    <xf borderId="0" fillId="3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4" fontId="3" numFmtId="0" xfId="0" applyAlignment="1" applyFill="1" applyFont="1">
      <alignment readingOrder="0"/>
    </xf>
    <xf borderId="0" fillId="4" fontId="3" numFmtId="0" xfId="0" applyAlignment="1" applyFont="1">
      <alignment readingOrder="0" shrinkToFit="0" wrapText="1"/>
    </xf>
    <xf borderId="0" fillId="4" fontId="3" numFmtId="0" xfId="0" applyFont="1"/>
    <xf borderId="0" fillId="5" fontId="3" numFmtId="0" xfId="0" applyAlignment="1" applyFill="1" applyFont="1">
      <alignment readingOrder="0"/>
    </xf>
    <xf borderId="0" fillId="5" fontId="3" numFmtId="0" xfId="0" applyAlignment="1" applyFont="1">
      <alignment readingOrder="0" shrinkToFit="0" wrapText="1"/>
    </xf>
    <xf borderId="0" fillId="5" fontId="3" numFmtId="0" xfId="0" applyFont="1"/>
    <xf borderId="0" fillId="6" fontId="3" numFmtId="0" xfId="0" applyAlignment="1" applyFill="1" applyFont="1">
      <alignment readingOrder="0"/>
    </xf>
    <xf borderId="0" fillId="6" fontId="3" numFmtId="0" xfId="0" applyAlignment="1" applyFont="1">
      <alignment readingOrder="0" shrinkToFit="0" wrapText="1"/>
    </xf>
    <xf borderId="0" fillId="6" fontId="3" numFmtId="0" xfId="0" applyFont="1"/>
    <xf borderId="0" fillId="7" fontId="3" numFmtId="0" xfId="0" applyAlignment="1" applyFill="1" applyFont="1">
      <alignment readingOrder="0"/>
    </xf>
    <xf borderId="0" fillId="7" fontId="3" numFmtId="0" xfId="0" applyAlignment="1" applyFont="1">
      <alignment readingOrder="0" shrinkToFit="0" wrapText="1"/>
    </xf>
    <xf borderId="0" fillId="7" fontId="3" numFmtId="0" xfId="0" applyFont="1"/>
    <xf borderId="0" fillId="8" fontId="3" numFmtId="0" xfId="0" applyAlignment="1" applyFill="1" applyFont="1">
      <alignment readingOrder="0"/>
    </xf>
    <xf borderId="0" fillId="8" fontId="3" numFmtId="0" xfId="0" applyAlignment="1" applyFont="1">
      <alignment readingOrder="0" shrinkToFit="0" wrapText="1"/>
    </xf>
    <xf borderId="0" fillId="8" fontId="3" numFmtId="0" xfId="0" applyFont="1"/>
    <xf borderId="0" fillId="3" fontId="3" numFmtId="0" xfId="0" applyAlignment="1" applyFont="1">
      <alignment readingOrder="0"/>
    </xf>
    <xf borderId="0" fillId="3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readingOrder="0"/>
    </xf>
    <xf borderId="1" fillId="0" fontId="3" numFmtId="0" xfId="0" applyAlignment="1" applyBorder="1" applyFont="1">
      <alignment readingOrder="0" vertical="center"/>
    </xf>
    <xf borderId="2" fillId="0" fontId="3" numFmtId="0" xfId="0" applyBorder="1" applyFont="1"/>
    <xf borderId="2" fillId="0" fontId="3" numFmtId="0" xfId="0" applyAlignment="1" applyBorder="1" applyFont="1">
      <alignment readingOrder="0"/>
    </xf>
    <xf borderId="3" fillId="0" fontId="5" numFmtId="0" xfId="0" applyBorder="1" applyFont="1"/>
    <xf borderId="0" fillId="0" fontId="3" numFmtId="0" xfId="0" applyAlignment="1" applyFont="1">
      <alignment vertical="center"/>
    </xf>
    <xf borderId="4" fillId="0" fontId="5" numFmtId="0" xfId="0" applyBorder="1" applyFont="1"/>
    <xf borderId="5" fillId="0" fontId="5" numFmtId="0" xfId="0" applyBorder="1" applyFont="1"/>
    <xf borderId="5" fillId="0" fontId="3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0" fillId="0" fontId="3" numFmtId="0" xfId="0" applyAlignment="1" applyFont="1">
      <alignment readingOrder="0" shrinkToFit="0" vertical="center" wrapText="1"/>
    </xf>
    <xf borderId="4" fillId="0" fontId="3" numFmtId="0" xfId="0" applyAlignment="1" applyBorder="1" applyFont="1">
      <alignment readingOrder="0"/>
    </xf>
    <xf borderId="3" fillId="0" fontId="3" numFmtId="0" xfId="0" applyAlignment="1" applyBorder="1" applyFont="1">
      <alignment readingOrder="0" vertical="center"/>
    </xf>
    <xf borderId="0" fillId="0" fontId="3" numFmtId="0" xfId="0" applyFont="1"/>
    <xf borderId="0" fillId="0" fontId="6" numFmtId="0" xfId="0" applyAlignment="1" applyFont="1">
      <alignment readingOrder="0" shrinkToFit="0" vertical="bottom" wrapText="0"/>
    </xf>
    <xf borderId="0" fillId="0" fontId="3" numFmtId="2" xfId="0" applyAlignment="1" applyFont="1" applyNumberFormat="1">
      <alignment readingOrder="0"/>
    </xf>
    <xf borderId="0" fillId="0" fontId="3" numFmtId="2" xfId="0" applyFont="1" applyNumberFormat="1"/>
    <xf borderId="0" fillId="2" fontId="1" numFmtId="2" xfId="0" applyAlignment="1" applyFont="1" applyNumberFormat="1">
      <alignment readingOrder="0"/>
    </xf>
    <xf borderId="0" fillId="9" fontId="3" numFmtId="0" xfId="0" applyAlignment="1" applyFill="1" applyFont="1">
      <alignment readingOrder="0"/>
    </xf>
    <xf borderId="5" fillId="0" fontId="3" numFmtId="0" xfId="0" applyBorder="1" applyFont="1"/>
    <xf borderId="0" fillId="10" fontId="3" numFmtId="0" xfId="0" applyAlignment="1" applyFill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12.38"/>
    <col customWidth="1" min="4" max="4" width="15.13"/>
    <col customWidth="1" min="5" max="5" width="23.13"/>
    <col customWidth="1" min="6" max="6" width="1186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4">
        <v>5.0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>
      <c r="A3" s="4">
        <v>7.0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</row>
    <row r="4">
      <c r="A4" s="4">
        <v>8.0</v>
      </c>
      <c r="B4" s="4" t="s">
        <v>16</v>
      </c>
      <c r="C4" s="4" t="s">
        <v>17</v>
      </c>
      <c r="F4" s="4" t="s">
        <v>18</v>
      </c>
    </row>
    <row r="5">
      <c r="A5" s="4">
        <v>27.0</v>
      </c>
      <c r="B5" s="4" t="s">
        <v>19</v>
      </c>
      <c r="C5" s="4" t="s">
        <v>12</v>
      </c>
      <c r="E5" s="4" t="s">
        <v>14</v>
      </c>
      <c r="F5" s="4" t="s">
        <v>20</v>
      </c>
    </row>
    <row r="6">
      <c r="A6" s="4">
        <v>29.0</v>
      </c>
      <c r="B6" s="4" t="s">
        <v>21</v>
      </c>
      <c r="C6" s="4" t="s">
        <v>12</v>
      </c>
      <c r="D6" s="4" t="s">
        <v>22</v>
      </c>
      <c r="E6" s="4" t="s">
        <v>14</v>
      </c>
      <c r="F6" s="4" t="s">
        <v>23</v>
      </c>
    </row>
    <row r="7">
      <c r="A7" s="4">
        <v>33.0</v>
      </c>
      <c r="B7" s="4" t="s">
        <v>24</v>
      </c>
      <c r="D7" s="4" t="s">
        <v>25</v>
      </c>
      <c r="E7" s="4" t="s">
        <v>14</v>
      </c>
      <c r="F7" s="4"/>
    </row>
    <row r="8">
      <c r="A8" s="4">
        <v>36.0</v>
      </c>
      <c r="B8" s="4" t="s">
        <v>26</v>
      </c>
      <c r="C8" s="4" t="s">
        <v>7</v>
      </c>
      <c r="D8" s="4" t="s">
        <v>8</v>
      </c>
      <c r="E8" s="4" t="s">
        <v>9</v>
      </c>
      <c r="F8" s="4" t="s">
        <v>27</v>
      </c>
    </row>
    <row r="9">
      <c r="A9" s="4">
        <v>38.0</v>
      </c>
      <c r="B9" s="4" t="s">
        <v>28</v>
      </c>
      <c r="C9" s="4" t="s">
        <v>12</v>
      </c>
      <c r="D9" s="4" t="s">
        <v>29</v>
      </c>
      <c r="F9" s="4" t="s">
        <v>30</v>
      </c>
    </row>
    <row r="10">
      <c r="A10" s="4">
        <v>62.0</v>
      </c>
      <c r="B10" s="4" t="s">
        <v>31</v>
      </c>
      <c r="D10" s="4" t="s">
        <v>32</v>
      </c>
      <c r="F10" s="4" t="s">
        <v>33</v>
      </c>
    </row>
    <row r="11">
      <c r="A11" s="4">
        <v>71.0</v>
      </c>
      <c r="B11" s="4" t="s">
        <v>34</v>
      </c>
      <c r="C11" s="4" t="s">
        <v>35</v>
      </c>
      <c r="D11" s="4" t="s">
        <v>29</v>
      </c>
      <c r="E11" s="4" t="s">
        <v>36</v>
      </c>
      <c r="F11" s="4"/>
    </row>
    <row r="12">
      <c r="A12" s="4">
        <v>81.0</v>
      </c>
      <c r="B12" s="4" t="s">
        <v>37</v>
      </c>
      <c r="C12" s="4" t="s">
        <v>17</v>
      </c>
      <c r="E12" s="4" t="s">
        <v>14</v>
      </c>
      <c r="F12" s="4" t="s">
        <v>38</v>
      </c>
    </row>
    <row r="13">
      <c r="A13" s="4">
        <v>93.0</v>
      </c>
      <c r="B13" s="4" t="s">
        <v>39</v>
      </c>
      <c r="C13" s="4" t="s">
        <v>40</v>
      </c>
      <c r="D13" s="4" t="s">
        <v>41</v>
      </c>
      <c r="E13" s="4" t="s">
        <v>42</v>
      </c>
      <c r="F13" s="4" t="s">
        <v>43</v>
      </c>
    </row>
    <row r="14">
      <c r="A14" s="4">
        <v>103.0</v>
      </c>
      <c r="B14" s="4" t="s">
        <v>44</v>
      </c>
      <c r="C14" s="4" t="s">
        <v>12</v>
      </c>
      <c r="D14" s="4" t="s">
        <v>45</v>
      </c>
      <c r="E14" s="4" t="s">
        <v>46</v>
      </c>
      <c r="F14" s="4" t="s">
        <v>47</v>
      </c>
    </row>
    <row r="15">
      <c r="A15" s="4">
        <v>104.0</v>
      </c>
      <c r="B15" s="4" t="s">
        <v>48</v>
      </c>
      <c r="C15" s="4" t="s">
        <v>7</v>
      </c>
      <c r="D15" s="4" t="s">
        <v>8</v>
      </c>
      <c r="E15" s="4" t="s">
        <v>9</v>
      </c>
      <c r="F15" s="4" t="s">
        <v>49</v>
      </c>
    </row>
    <row r="16">
      <c r="A16" s="4">
        <v>115.0</v>
      </c>
      <c r="B16" s="4" t="s">
        <v>50</v>
      </c>
      <c r="C16" s="4" t="s">
        <v>12</v>
      </c>
      <c r="D16" s="4" t="s">
        <v>51</v>
      </c>
      <c r="E16" s="4" t="s">
        <v>14</v>
      </c>
      <c r="F16" s="4"/>
    </row>
    <row r="17">
      <c r="A17" s="4">
        <v>119.0</v>
      </c>
      <c r="B17" s="4" t="s">
        <v>52</v>
      </c>
      <c r="C17" s="4" t="s">
        <v>7</v>
      </c>
      <c r="D17" s="4" t="s">
        <v>29</v>
      </c>
      <c r="E17" s="4" t="s">
        <v>53</v>
      </c>
      <c r="F17" s="4" t="s">
        <v>54</v>
      </c>
    </row>
    <row r="18">
      <c r="A18" s="4">
        <v>142.0</v>
      </c>
      <c r="B18" s="4" t="s">
        <v>55</v>
      </c>
      <c r="C18" s="4" t="s">
        <v>7</v>
      </c>
      <c r="D18" s="4" t="s">
        <v>8</v>
      </c>
      <c r="E18" s="4" t="s">
        <v>9</v>
      </c>
      <c r="F18" s="4" t="s">
        <v>56</v>
      </c>
    </row>
    <row r="19">
      <c r="A19" s="4">
        <v>143.0</v>
      </c>
      <c r="B19" s="4" t="s">
        <v>57</v>
      </c>
      <c r="C19" s="4" t="s">
        <v>58</v>
      </c>
      <c r="D19" s="4" t="s">
        <v>59</v>
      </c>
      <c r="E19" s="4" t="s">
        <v>60</v>
      </c>
      <c r="F19" s="4" t="s">
        <v>61</v>
      </c>
    </row>
    <row r="20">
      <c r="A20" s="4">
        <v>145.0</v>
      </c>
      <c r="B20" s="4" t="s">
        <v>62</v>
      </c>
      <c r="C20" s="4" t="s">
        <v>35</v>
      </c>
      <c r="D20" s="4" t="s">
        <v>29</v>
      </c>
      <c r="E20" s="4" t="s">
        <v>63</v>
      </c>
      <c r="F20" s="4" t="s">
        <v>64</v>
      </c>
    </row>
    <row r="21">
      <c r="A21" s="4">
        <v>154.0</v>
      </c>
      <c r="B21" s="4" t="s">
        <v>65</v>
      </c>
      <c r="C21" s="4" t="s">
        <v>58</v>
      </c>
      <c r="D21" s="4" t="s">
        <v>59</v>
      </c>
      <c r="E21" s="4" t="s">
        <v>60</v>
      </c>
      <c r="F21" s="4"/>
    </row>
    <row r="22">
      <c r="A22" s="4">
        <v>169.0</v>
      </c>
      <c r="B22" s="4" t="s">
        <v>66</v>
      </c>
      <c r="C22" s="4" t="s">
        <v>12</v>
      </c>
      <c r="D22" s="4" t="s">
        <v>13</v>
      </c>
      <c r="E22" s="4" t="s">
        <v>14</v>
      </c>
      <c r="F22" s="4"/>
    </row>
    <row r="23">
      <c r="A23" s="4">
        <v>174.0</v>
      </c>
      <c r="B23" s="4" t="s">
        <v>67</v>
      </c>
      <c r="C23" s="4" t="s">
        <v>12</v>
      </c>
      <c r="D23" s="4" t="s">
        <v>22</v>
      </c>
      <c r="E23" s="4" t="s">
        <v>14</v>
      </c>
      <c r="F23" s="4"/>
    </row>
    <row r="24">
      <c r="A24" s="4">
        <v>181.0</v>
      </c>
      <c r="B24" s="4" t="s">
        <v>68</v>
      </c>
      <c r="C24" s="4" t="s">
        <v>58</v>
      </c>
      <c r="D24" s="4" t="s">
        <v>59</v>
      </c>
      <c r="E24" s="4" t="s">
        <v>60</v>
      </c>
      <c r="F24" s="4" t="s">
        <v>69</v>
      </c>
    </row>
    <row r="25">
      <c r="A25" s="4">
        <v>193.0</v>
      </c>
      <c r="B25" s="4" t="s">
        <v>70</v>
      </c>
      <c r="C25" s="4" t="s">
        <v>12</v>
      </c>
      <c r="D25" s="4" t="s">
        <v>71</v>
      </c>
      <c r="E25" s="4" t="s">
        <v>72</v>
      </c>
      <c r="F25" s="4" t="s">
        <v>73</v>
      </c>
    </row>
    <row r="26">
      <c r="A26" s="4">
        <v>194.0</v>
      </c>
      <c r="B26" s="4" t="s">
        <v>74</v>
      </c>
      <c r="C26" s="4" t="s">
        <v>7</v>
      </c>
      <c r="D26" s="4" t="s">
        <v>8</v>
      </c>
      <c r="E26" s="4" t="s">
        <v>9</v>
      </c>
      <c r="F26" s="4" t="s">
        <v>75</v>
      </c>
    </row>
    <row r="27">
      <c r="A27" s="4">
        <v>198.0</v>
      </c>
      <c r="B27" s="4" t="s">
        <v>76</v>
      </c>
      <c r="C27" s="4" t="s">
        <v>12</v>
      </c>
      <c r="D27" s="4" t="s">
        <v>22</v>
      </c>
      <c r="E27" s="4" t="s">
        <v>14</v>
      </c>
      <c r="F27" s="4" t="s">
        <v>77</v>
      </c>
    </row>
    <row r="28">
      <c r="A28" s="4">
        <v>205.0</v>
      </c>
      <c r="B28" s="4" t="s">
        <v>78</v>
      </c>
      <c r="C28" s="4" t="s">
        <v>7</v>
      </c>
      <c r="D28" s="4" t="s">
        <v>8</v>
      </c>
      <c r="E28" s="4" t="s">
        <v>9</v>
      </c>
      <c r="F28" s="4" t="s">
        <v>79</v>
      </c>
    </row>
    <row r="29">
      <c r="A29" s="4">
        <v>209.0</v>
      </c>
      <c r="B29" s="4" t="s">
        <v>80</v>
      </c>
      <c r="C29" s="4" t="s">
        <v>12</v>
      </c>
      <c r="D29" s="4" t="s">
        <v>51</v>
      </c>
      <c r="E29" s="4" t="s">
        <v>14</v>
      </c>
      <c r="F29" s="4"/>
    </row>
    <row r="30">
      <c r="A30" s="4">
        <v>225.0</v>
      </c>
      <c r="B30" s="4" t="s">
        <v>81</v>
      </c>
      <c r="C30" s="4" t="s">
        <v>12</v>
      </c>
      <c r="D30" s="4" t="s">
        <v>13</v>
      </c>
      <c r="E30" s="4" t="s">
        <v>14</v>
      </c>
      <c r="F30" s="4" t="s">
        <v>82</v>
      </c>
    </row>
    <row r="31">
      <c r="A31" s="4">
        <v>241.0</v>
      </c>
      <c r="B31" s="4" t="s">
        <v>83</v>
      </c>
      <c r="C31" s="4" t="s">
        <v>12</v>
      </c>
      <c r="D31" s="4" t="s">
        <v>51</v>
      </c>
      <c r="E31" s="4" t="s">
        <v>14</v>
      </c>
      <c r="F31" s="4"/>
    </row>
    <row r="32">
      <c r="A32" s="4">
        <v>250.0</v>
      </c>
      <c r="B32" s="4" t="s">
        <v>84</v>
      </c>
      <c r="C32" s="4" t="s">
        <v>58</v>
      </c>
      <c r="D32" s="4" t="s">
        <v>59</v>
      </c>
      <c r="E32" s="4" t="s">
        <v>60</v>
      </c>
      <c r="F32" s="4"/>
    </row>
    <row r="33">
      <c r="A33" s="4">
        <v>263.0</v>
      </c>
      <c r="B33" s="4" t="s">
        <v>85</v>
      </c>
      <c r="C33" s="4" t="s">
        <v>12</v>
      </c>
      <c r="D33" s="4" t="s">
        <v>22</v>
      </c>
      <c r="E33" s="4" t="s">
        <v>14</v>
      </c>
      <c r="F33" s="4" t="s">
        <v>86</v>
      </c>
    </row>
    <row r="34">
      <c r="A34" s="4">
        <v>265.0</v>
      </c>
      <c r="B34" s="4" t="s">
        <v>87</v>
      </c>
      <c r="C34" s="4" t="s">
        <v>12</v>
      </c>
      <c r="D34" s="4" t="s">
        <v>71</v>
      </c>
      <c r="E34" s="4" t="s">
        <v>72</v>
      </c>
      <c r="F34" s="4"/>
    </row>
    <row r="35">
      <c r="A35" s="4">
        <v>270.0</v>
      </c>
      <c r="B35" s="4" t="s">
        <v>88</v>
      </c>
      <c r="C35" s="4" t="s">
        <v>12</v>
      </c>
      <c r="D35" s="4" t="s">
        <v>45</v>
      </c>
      <c r="E35" s="4" t="s">
        <v>46</v>
      </c>
      <c r="F35" s="4" t="s">
        <v>89</v>
      </c>
    </row>
    <row r="36">
      <c r="A36" s="4">
        <v>283.0</v>
      </c>
      <c r="B36" s="4" t="s">
        <v>90</v>
      </c>
      <c r="C36" s="4" t="s">
        <v>12</v>
      </c>
      <c r="D36" s="4" t="s">
        <v>22</v>
      </c>
      <c r="E36" s="4" t="s">
        <v>14</v>
      </c>
      <c r="F36" s="4"/>
    </row>
    <row r="37">
      <c r="A37" s="4">
        <v>290.0</v>
      </c>
      <c r="B37" s="4" t="s">
        <v>91</v>
      </c>
      <c r="C37" s="4" t="s">
        <v>12</v>
      </c>
      <c r="D37" s="4" t="s">
        <v>22</v>
      </c>
      <c r="E37" s="4" t="s">
        <v>14</v>
      </c>
      <c r="F37" s="4" t="s">
        <v>92</v>
      </c>
    </row>
    <row r="38">
      <c r="A38" s="4">
        <v>292.0</v>
      </c>
      <c r="B38" s="4" t="s">
        <v>93</v>
      </c>
      <c r="C38" s="4" t="s">
        <v>12</v>
      </c>
      <c r="D38" s="4" t="s">
        <v>51</v>
      </c>
      <c r="E38" s="4" t="s">
        <v>14</v>
      </c>
      <c r="F38" s="4" t="s">
        <v>94</v>
      </c>
    </row>
    <row r="39">
      <c r="A39" s="4">
        <v>293.0</v>
      </c>
      <c r="B39" s="4" t="s">
        <v>95</v>
      </c>
      <c r="C39" s="4" t="s">
        <v>12</v>
      </c>
      <c r="D39" s="4" t="s">
        <v>45</v>
      </c>
      <c r="E39" s="4" t="s">
        <v>46</v>
      </c>
      <c r="F39" s="4" t="s">
        <v>96</v>
      </c>
    </row>
    <row r="40">
      <c r="A40" s="4">
        <v>297.0</v>
      </c>
      <c r="B40" s="4" t="s">
        <v>97</v>
      </c>
      <c r="C40" s="4" t="s">
        <v>12</v>
      </c>
      <c r="D40" s="4" t="s">
        <v>51</v>
      </c>
      <c r="E40" s="4" t="s">
        <v>14</v>
      </c>
      <c r="F40" s="4"/>
    </row>
    <row r="41">
      <c r="A41" s="4">
        <v>303.0</v>
      </c>
      <c r="B41" s="4" t="s">
        <v>98</v>
      </c>
      <c r="C41" s="4" t="s">
        <v>40</v>
      </c>
      <c r="D41" s="4" t="s">
        <v>41</v>
      </c>
      <c r="E41" s="4" t="s">
        <v>42</v>
      </c>
      <c r="F41" s="4"/>
    </row>
    <row r="42">
      <c r="A42" s="4">
        <v>308.0</v>
      </c>
      <c r="B42" s="4" t="s">
        <v>99</v>
      </c>
      <c r="C42" s="4" t="s">
        <v>12</v>
      </c>
      <c r="D42" s="4" t="s">
        <v>13</v>
      </c>
      <c r="E42" s="4" t="s">
        <v>14</v>
      </c>
      <c r="F42" s="4"/>
    </row>
    <row r="43">
      <c r="A43" s="4">
        <v>316.0</v>
      </c>
      <c r="B43" s="4" t="s">
        <v>100</v>
      </c>
      <c r="C43" s="4" t="s">
        <v>12</v>
      </c>
      <c r="D43" s="4" t="s">
        <v>51</v>
      </c>
      <c r="E43" s="4" t="s">
        <v>14</v>
      </c>
      <c r="F43" s="4"/>
    </row>
    <row r="44">
      <c r="A44" s="4">
        <v>324.0</v>
      </c>
      <c r="B44" s="4" t="s">
        <v>101</v>
      </c>
      <c r="C44" s="4" t="s">
        <v>7</v>
      </c>
      <c r="D44" s="4" t="s">
        <v>8</v>
      </c>
      <c r="E44" s="4" t="s">
        <v>9</v>
      </c>
      <c r="F44" s="4"/>
    </row>
    <row r="45">
      <c r="A45" s="4">
        <v>326.0</v>
      </c>
      <c r="B45" s="4" t="s">
        <v>102</v>
      </c>
      <c r="C45" s="4" t="s">
        <v>7</v>
      </c>
      <c r="D45" s="4" t="s">
        <v>29</v>
      </c>
      <c r="E45" s="4" t="s">
        <v>53</v>
      </c>
      <c r="F45" s="4" t="s">
        <v>103</v>
      </c>
    </row>
    <row r="46">
      <c r="A46" s="4">
        <v>331.0</v>
      </c>
      <c r="B46" s="4" t="s">
        <v>104</v>
      </c>
      <c r="C46" s="4" t="s">
        <v>7</v>
      </c>
      <c r="D46" s="4" t="s">
        <v>29</v>
      </c>
      <c r="E46" s="4" t="s">
        <v>53</v>
      </c>
      <c r="F46" s="4"/>
    </row>
    <row r="47">
      <c r="A47" s="4">
        <v>357.0</v>
      </c>
      <c r="B47" s="4" t="s">
        <v>105</v>
      </c>
      <c r="C47" s="4" t="s">
        <v>12</v>
      </c>
      <c r="D47" s="4" t="s">
        <v>51</v>
      </c>
      <c r="E47" s="4" t="s">
        <v>14</v>
      </c>
      <c r="F47" s="4"/>
    </row>
    <row r="48">
      <c r="A48" s="4">
        <v>363.0</v>
      </c>
      <c r="B48" s="4" t="s">
        <v>106</v>
      </c>
      <c r="C48" s="4" t="s">
        <v>7</v>
      </c>
      <c r="D48" s="4" t="s">
        <v>29</v>
      </c>
      <c r="E48" s="4" t="s">
        <v>53</v>
      </c>
      <c r="F48" s="4" t="s">
        <v>107</v>
      </c>
    </row>
    <row r="49">
      <c r="A49" s="4">
        <v>365.0</v>
      </c>
      <c r="B49" s="4" t="s">
        <v>108</v>
      </c>
      <c r="C49" s="4" t="s">
        <v>12</v>
      </c>
      <c r="D49" s="4" t="s">
        <v>71</v>
      </c>
      <c r="E49" s="4" t="s">
        <v>72</v>
      </c>
      <c r="F49" s="4"/>
    </row>
    <row r="50">
      <c r="A50" s="4">
        <v>370.0</v>
      </c>
      <c r="B50" s="4" t="s">
        <v>109</v>
      </c>
      <c r="C50" s="4" t="s">
        <v>7</v>
      </c>
      <c r="D50" s="4" t="s">
        <v>29</v>
      </c>
      <c r="E50" s="4" t="s">
        <v>53</v>
      </c>
      <c r="F50" s="4" t="s">
        <v>110</v>
      </c>
    </row>
    <row r="51">
      <c r="A51" s="4">
        <v>389.0</v>
      </c>
      <c r="B51" s="4" t="s">
        <v>111</v>
      </c>
      <c r="C51" s="4" t="s">
        <v>7</v>
      </c>
      <c r="D51" s="4" t="s">
        <v>8</v>
      </c>
      <c r="E51" s="4" t="s">
        <v>9</v>
      </c>
      <c r="F51" s="4"/>
    </row>
    <row r="52">
      <c r="A52" s="4">
        <v>399.0</v>
      </c>
      <c r="B52" s="4" t="s">
        <v>112</v>
      </c>
      <c r="C52" s="4" t="s">
        <v>40</v>
      </c>
      <c r="D52" s="4" t="s">
        <v>41</v>
      </c>
      <c r="E52" s="4" t="s">
        <v>42</v>
      </c>
      <c r="F52" s="4" t="s">
        <v>113</v>
      </c>
    </row>
    <row r="53">
      <c r="A53" s="4">
        <v>411.0</v>
      </c>
      <c r="B53" s="4" t="s">
        <v>114</v>
      </c>
      <c r="C53" s="4" t="s">
        <v>12</v>
      </c>
      <c r="D53" s="4" t="s">
        <v>71</v>
      </c>
      <c r="E53" s="4" t="s">
        <v>72</v>
      </c>
      <c r="F53" s="4" t="s">
        <v>115</v>
      </c>
    </row>
    <row r="54">
      <c r="A54" s="4">
        <v>415.0</v>
      </c>
      <c r="B54" s="4" t="s">
        <v>116</v>
      </c>
      <c r="C54" s="4" t="s">
        <v>12</v>
      </c>
      <c r="D54" s="4" t="s">
        <v>22</v>
      </c>
      <c r="E54" s="4" t="s">
        <v>14</v>
      </c>
      <c r="F54" s="4" t="s">
        <v>117</v>
      </c>
    </row>
    <row r="55">
      <c r="A55" s="4">
        <v>437.0</v>
      </c>
      <c r="B55" s="4" t="s">
        <v>118</v>
      </c>
      <c r="C55" s="4" t="s">
        <v>7</v>
      </c>
      <c r="D55" s="4" t="s">
        <v>29</v>
      </c>
      <c r="E55" s="4" t="s">
        <v>53</v>
      </c>
      <c r="F55" s="4" t="s">
        <v>119</v>
      </c>
    </row>
    <row r="56">
      <c r="A56" s="4">
        <v>438.0</v>
      </c>
      <c r="B56" s="4" t="s">
        <v>120</v>
      </c>
      <c r="C56" s="4" t="s">
        <v>58</v>
      </c>
      <c r="D56" s="4" t="s">
        <v>59</v>
      </c>
      <c r="E56" s="4" t="s">
        <v>60</v>
      </c>
      <c r="F56" s="4" t="s">
        <v>121</v>
      </c>
    </row>
    <row r="57">
      <c r="A57" s="4">
        <v>439.0</v>
      </c>
      <c r="B57" s="4" t="s">
        <v>122</v>
      </c>
      <c r="C57" s="4" t="s">
        <v>12</v>
      </c>
      <c r="D57" s="4" t="s">
        <v>13</v>
      </c>
      <c r="E57" s="4" t="s">
        <v>14</v>
      </c>
      <c r="F57" s="4"/>
    </row>
    <row r="58">
      <c r="A58" s="4">
        <v>446.0</v>
      </c>
      <c r="B58" s="4" t="s">
        <v>123</v>
      </c>
      <c r="C58" s="4" t="s">
        <v>7</v>
      </c>
      <c r="D58" s="4" t="s">
        <v>8</v>
      </c>
      <c r="E58" s="4" t="s">
        <v>9</v>
      </c>
      <c r="F58" s="4" t="s">
        <v>124</v>
      </c>
    </row>
    <row r="59">
      <c r="A59" s="4">
        <v>447.0</v>
      </c>
      <c r="B59" s="4" t="s">
        <v>125</v>
      </c>
      <c r="C59" s="4" t="s">
        <v>7</v>
      </c>
      <c r="D59" s="4" t="s">
        <v>29</v>
      </c>
      <c r="E59" s="4" t="s">
        <v>53</v>
      </c>
      <c r="F59" s="4" t="s">
        <v>126</v>
      </c>
    </row>
    <row r="60">
      <c r="A60" s="4">
        <v>461.0</v>
      </c>
      <c r="B60" s="4" t="s">
        <v>127</v>
      </c>
      <c r="C60" s="4" t="s">
        <v>12</v>
      </c>
      <c r="D60" s="4" t="s">
        <v>13</v>
      </c>
      <c r="E60" s="4" t="s">
        <v>14</v>
      </c>
      <c r="F60" s="4" t="s">
        <v>128</v>
      </c>
    </row>
    <row r="61">
      <c r="A61" s="4">
        <v>466.0</v>
      </c>
      <c r="B61" s="4" t="s">
        <v>129</v>
      </c>
      <c r="C61" s="4" t="s">
        <v>40</v>
      </c>
      <c r="D61" s="4" t="s">
        <v>41</v>
      </c>
      <c r="E61" s="4" t="s">
        <v>42</v>
      </c>
      <c r="F61" s="4"/>
    </row>
    <row r="62">
      <c r="A62" s="4">
        <v>468.0</v>
      </c>
      <c r="B62" s="4" t="s">
        <v>130</v>
      </c>
      <c r="C62" s="4" t="s">
        <v>58</v>
      </c>
      <c r="D62" s="4" t="s">
        <v>59</v>
      </c>
      <c r="E62" s="4" t="s">
        <v>60</v>
      </c>
      <c r="F62" s="4" t="s">
        <v>131</v>
      </c>
    </row>
    <row r="63">
      <c r="A63" s="4">
        <v>479.0</v>
      </c>
      <c r="B63" s="4" t="s">
        <v>132</v>
      </c>
      <c r="C63" s="4" t="s">
        <v>12</v>
      </c>
      <c r="D63" s="4" t="s">
        <v>45</v>
      </c>
      <c r="E63" s="4" t="s">
        <v>46</v>
      </c>
      <c r="F63" s="4" t="s">
        <v>133</v>
      </c>
    </row>
    <row r="64">
      <c r="A64" s="4">
        <v>494.0</v>
      </c>
      <c r="B64" s="4" t="s">
        <v>134</v>
      </c>
      <c r="C64" s="4" t="s">
        <v>58</v>
      </c>
      <c r="D64" s="4" t="s">
        <v>59</v>
      </c>
      <c r="E64" s="4" t="s">
        <v>60</v>
      </c>
      <c r="F64" s="4"/>
    </row>
    <row r="65">
      <c r="A65" s="4">
        <v>503.0</v>
      </c>
      <c r="B65" s="4" t="s">
        <v>135</v>
      </c>
      <c r="C65" s="4" t="s">
        <v>12</v>
      </c>
      <c r="D65" s="4" t="s">
        <v>13</v>
      </c>
      <c r="E65" s="4" t="s">
        <v>14</v>
      </c>
      <c r="F65" s="4" t="s">
        <v>136</v>
      </c>
    </row>
    <row r="66">
      <c r="A66" s="4">
        <v>508.0</v>
      </c>
      <c r="B66" s="4" t="s">
        <v>137</v>
      </c>
      <c r="C66" s="4" t="s">
        <v>12</v>
      </c>
      <c r="D66" s="4" t="s">
        <v>13</v>
      </c>
      <c r="E66" s="4" t="s">
        <v>14</v>
      </c>
      <c r="F66" s="4" t="s">
        <v>138</v>
      </c>
    </row>
    <row r="67">
      <c r="A67" s="4">
        <v>509.0</v>
      </c>
      <c r="B67" s="4" t="s">
        <v>139</v>
      </c>
      <c r="C67" s="4" t="s">
        <v>12</v>
      </c>
      <c r="D67" s="4" t="s">
        <v>45</v>
      </c>
      <c r="E67" s="4" t="s">
        <v>46</v>
      </c>
      <c r="F67" s="4"/>
    </row>
    <row r="68">
      <c r="A68" s="4">
        <v>516.0</v>
      </c>
      <c r="B68" s="4" t="s">
        <v>140</v>
      </c>
      <c r="C68" s="4" t="s">
        <v>58</v>
      </c>
      <c r="D68" s="4" t="s">
        <v>59</v>
      </c>
      <c r="E68" s="4" t="s">
        <v>60</v>
      </c>
      <c r="F68" s="4" t="s">
        <v>141</v>
      </c>
    </row>
    <row r="69">
      <c r="A69" s="4">
        <v>518.0</v>
      </c>
      <c r="B69" s="4" t="s">
        <v>142</v>
      </c>
      <c r="C69" s="4" t="s">
        <v>12</v>
      </c>
      <c r="D69" s="4" t="s">
        <v>22</v>
      </c>
      <c r="E69" s="4" t="s">
        <v>14</v>
      </c>
      <c r="F69" s="4"/>
    </row>
    <row r="70">
      <c r="A70" s="4">
        <v>524.0</v>
      </c>
      <c r="B70" s="4" t="s">
        <v>143</v>
      </c>
      <c r="C70" s="4" t="s">
        <v>40</v>
      </c>
      <c r="D70" s="4" t="s">
        <v>41</v>
      </c>
      <c r="E70" s="4" t="s">
        <v>42</v>
      </c>
      <c r="F70" s="4" t="s">
        <v>144</v>
      </c>
    </row>
    <row r="71">
      <c r="A71" s="4">
        <v>526.0</v>
      </c>
      <c r="B71" s="4" t="s">
        <v>145</v>
      </c>
      <c r="C71" s="4" t="s">
        <v>12</v>
      </c>
      <c r="D71" s="4" t="s">
        <v>13</v>
      </c>
      <c r="E71" s="4" t="s">
        <v>14</v>
      </c>
      <c r="F71" s="4" t="s">
        <v>146</v>
      </c>
    </row>
    <row r="72">
      <c r="A72" s="4">
        <v>544.0</v>
      </c>
      <c r="B72" s="4" t="s">
        <v>147</v>
      </c>
      <c r="C72" s="4" t="s">
        <v>7</v>
      </c>
      <c r="D72" s="4" t="s">
        <v>29</v>
      </c>
      <c r="E72" s="4" t="s">
        <v>53</v>
      </c>
      <c r="F72" s="4" t="s">
        <v>148</v>
      </c>
    </row>
    <row r="73">
      <c r="A73" s="4">
        <v>548.0</v>
      </c>
      <c r="B73" s="4" t="s">
        <v>149</v>
      </c>
      <c r="C73" s="4" t="s">
        <v>7</v>
      </c>
      <c r="D73" s="4" t="s">
        <v>29</v>
      </c>
      <c r="E73" s="4" t="s">
        <v>53</v>
      </c>
      <c r="F73" s="4"/>
    </row>
    <row r="74">
      <c r="A74" s="4">
        <v>558.0</v>
      </c>
      <c r="B74" s="4" t="s">
        <v>150</v>
      </c>
      <c r="C74" s="4" t="s">
        <v>7</v>
      </c>
      <c r="D74" s="4" t="s">
        <v>8</v>
      </c>
      <c r="E74" s="4" t="s">
        <v>9</v>
      </c>
      <c r="F74" s="4" t="s">
        <v>151</v>
      </c>
    </row>
    <row r="75">
      <c r="A75" s="4">
        <v>559.0</v>
      </c>
      <c r="B75" s="4" t="s">
        <v>152</v>
      </c>
      <c r="C75" s="4" t="s">
        <v>7</v>
      </c>
      <c r="D75" s="4" t="s">
        <v>8</v>
      </c>
      <c r="E75" s="4" t="s">
        <v>9</v>
      </c>
      <c r="F75" s="4"/>
    </row>
    <row r="76">
      <c r="A76" s="4">
        <v>562.0</v>
      </c>
      <c r="B76" s="4" t="s">
        <v>153</v>
      </c>
      <c r="C76" s="4" t="s">
        <v>58</v>
      </c>
      <c r="D76" s="4" t="s">
        <v>59</v>
      </c>
      <c r="E76" s="4" t="s">
        <v>60</v>
      </c>
      <c r="F76" s="4"/>
    </row>
    <row r="77">
      <c r="A77" s="4">
        <v>423.0</v>
      </c>
      <c r="B77" s="4" t="s">
        <v>154</v>
      </c>
      <c r="C77" s="4" t="s">
        <v>12</v>
      </c>
      <c r="D77" s="4" t="s">
        <v>13</v>
      </c>
      <c r="E77" s="4" t="s">
        <v>14</v>
      </c>
      <c r="F77" s="4" t="s">
        <v>155</v>
      </c>
    </row>
    <row r="78">
      <c r="A78" s="4">
        <v>391.0</v>
      </c>
      <c r="B78" s="4" t="s">
        <v>156</v>
      </c>
      <c r="C78" s="4" t="s">
        <v>58</v>
      </c>
      <c r="D78" s="4" t="s">
        <v>59</v>
      </c>
      <c r="E78" s="4" t="s">
        <v>60</v>
      </c>
      <c r="F78" s="4"/>
    </row>
    <row r="79">
      <c r="A79" s="4">
        <v>152.0</v>
      </c>
      <c r="B79" s="4" t="s">
        <v>157</v>
      </c>
      <c r="C79" s="4" t="s">
        <v>12</v>
      </c>
      <c r="D79" s="4" t="s">
        <v>13</v>
      </c>
      <c r="E79" s="4" t="s">
        <v>14</v>
      </c>
    </row>
    <row r="80">
      <c r="A80" s="4">
        <v>465.0</v>
      </c>
      <c r="B80" s="4" t="s">
        <v>158</v>
      </c>
      <c r="C80" s="4" t="s">
        <v>12</v>
      </c>
      <c r="D80" s="4" t="s">
        <v>71</v>
      </c>
      <c r="E80" s="4" t="s">
        <v>72</v>
      </c>
    </row>
    <row r="81">
      <c r="A81" s="4">
        <v>362.0</v>
      </c>
      <c r="B81" s="4" t="s">
        <v>159</v>
      </c>
      <c r="C81" s="4" t="s">
        <v>12</v>
      </c>
      <c r="D81" s="4" t="s">
        <v>13</v>
      </c>
      <c r="E81" s="4" t="s">
        <v>14</v>
      </c>
      <c r="F81" s="4"/>
    </row>
    <row r="82">
      <c r="A82" s="4">
        <v>242.0</v>
      </c>
      <c r="B82" s="4" t="s">
        <v>160</v>
      </c>
      <c r="C82" s="4" t="s">
        <v>12</v>
      </c>
      <c r="D82" s="4" t="s">
        <v>51</v>
      </c>
      <c r="E82" s="4" t="s">
        <v>14</v>
      </c>
      <c r="F82" s="4"/>
    </row>
    <row r="83">
      <c r="A83" s="4">
        <v>450.0</v>
      </c>
      <c r="B83" s="4" t="s">
        <v>161</v>
      </c>
      <c r="C83" s="4" t="s">
        <v>40</v>
      </c>
      <c r="D83" s="4" t="s">
        <v>41</v>
      </c>
      <c r="E83" s="4" t="s">
        <v>42</v>
      </c>
      <c r="F83" s="4"/>
    </row>
    <row r="84">
      <c r="A84" s="4">
        <v>161.0</v>
      </c>
      <c r="B84" s="4" t="s">
        <v>162</v>
      </c>
      <c r="C84" s="4" t="s">
        <v>163</v>
      </c>
      <c r="D84" s="5" t="s">
        <v>163</v>
      </c>
      <c r="E84" s="4" t="s">
        <v>14</v>
      </c>
      <c r="F84" s="4"/>
      <c r="G84" s="4" t="s">
        <v>12</v>
      </c>
      <c r="H84" s="4" t="s">
        <v>13</v>
      </c>
      <c r="I84" s="4" t="s">
        <v>14</v>
      </c>
      <c r="J84" s="4" t="s">
        <v>155</v>
      </c>
    </row>
    <row r="85">
      <c r="A85" s="4">
        <v>354.0</v>
      </c>
      <c r="B85" s="4" t="s">
        <v>164</v>
      </c>
      <c r="C85" s="4" t="s">
        <v>12</v>
      </c>
      <c r="D85" s="5" t="s">
        <v>51</v>
      </c>
      <c r="E85" s="4" t="s">
        <v>14</v>
      </c>
      <c r="F85" s="4"/>
    </row>
    <row r="86">
      <c r="A86" s="4">
        <v>495.0</v>
      </c>
      <c r="B86" s="4" t="s">
        <v>165</v>
      </c>
      <c r="C86" s="4" t="s">
        <v>12</v>
      </c>
      <c r="D86" s="5" t="s">
        <v>71</v>
      </c>
      <c r="E86" s="4" t="s">
        <v>72</v>
      </c>
      <c r="F86" s="4"/>
    </row>
    <row r="87">
      <c r="A87" s="4">
        <v>458.0</v>
      </c>
      <c r="B87" s="4" t="s">
        <v>166</v>
      </c>
      <c r="C87" s="4" t="s">
        <v>7</v>
      </c>
      <c r="D87" s="4" t="s">
        <v>29</v>
      </c>
      <c r="E87" s="4" t="s">
        <v>53</v>
      </c>
      <c r="F87" s="4"/>
    </row>
    <row r="88">
      <c r="A88" s="4">
        <v>16.0</v>
      </c>
      <c r="B88" s="4" t="s">
        <v>167</v>
      </c>
      <c r="C88" s="4" t="s">
        <v>163</v>
      </c>
      <c r="D88" s="4" t="s">
        <v>29</v>
      </c>
      <c r="E88" s="4" t="s">
        <v>163</v>
      </c>
      <c r="F88" s="4"/>
    </row>
    <row r="89">
      <c r="A89" s="4">
        <v>463.0</v>
      </c>
      <c r="B89" s="4" t="s">
        <v>168</v>
      </c>
      <c r="C89" s="4" t="s">
        <v>12</v>
      </c>
      <c r="D89" s="4" t="s">
        <v>22</v>
      </c>
      <c r="E89" s="4" t="s">
        <v>14</v>
      </c>
      <c r="F89" s="4"/>
    </row>
    <row r="90">
      <c r="A90" s="4">
        <v>65.0</v>
      </c>
      <c r="B90" s="4" t="s">
        <v>169</v>
      </c>
      <c r="C90" s="4" t="s">
        <v>170</v>
      </c>
      <c r="D90" s="4" t="s">
        <v>29</v>
      </c>
      <c r="E90" s="4" t="s">
        <v>171</v>
      </c>
      <c r="F90" s="4" t="s">
        <v>172</v>
      </c>
    </row>
    <row r="91">
      <c r="A91" s="4">
        <v>63.0</v>
      </c>
      <c r="B91" s="4" t="s">
        <v>173</v>
      </c>
      <c r="C91" s="4" t="s">
        <v>17</v>
      </c>
      <c r="D91" s="4" t="s">
        <v>163</v>
      </c>
      <c r="E91" s="4" t="s">
        <v>174</v>
      </c>
      <c r="F91" s="4"/>
    </row>
    <row r="92">
      <c r="A92" s="4">
        <v>261.0</v>
      </c>
      <c r="B92" s="4" t="s">
        <v>175</v>
      </c>
      <c r="C92" s="4" t="s">
        <v>58</v>
      </c>
      <c r="D92" s="4" t="s">
        <v>59</v>
      </c>
      <c r="E92" s="4" t="s">
        <v>60</v>
      </c>
      <c r="F92" s="4" t="s">
        <v>176</v>
      </c>
    </row>
    <row r="93">
      <c r="A93" s="4">
        <v>335.0</v>
      </c>
      <c r="B93" s="4" t="s">
        <v>177</v>
      </c>
      <c r="C93" s="4" t="s">
        <v>40</v>
      </c>
      <c r="D93" s="4" t="s">
        <v>41</v>
      </c>
      <c r="E93" s="4" t="s">
        <v>42</v>
      </c>
      <c r="F93" s="4" t="s">
        <v>178</v>
      </c>
    </row>
    <row r="94">
      <c r="A94" s="4">
        <v>168.0</v>
      </c>
      <c r="B94" s="4" t="s">
        <v>179</v>
      </c>
      <c r="C94" s="4" t="s">
        <v>7</v>
      </c>
      <c r="D94" s="4" t="s">
        <v>8</v>
      </c>
      <c r="E94" s="4" t="s">
        <v>9</v>
      </c>
      <c r="F94" s="4"/>
    </row>
    <row r="95">
      <c r="A95" s="4">
        <v>568.0</v>
      </c>
      <c r="B95" s="4" t="s">
        <v>180</v>
      </c>
      <c r="C95" s="4" t="s">
        <v>12</v>
      </c>
      <c r="D95" s="4" t="s">
        <v>13</v>
      </c>
      <c r="E95" s="4" t="s">
        <v>14</v>
      </c>
      <c r="F95" s="4" t="s">
        <v>181</v>
      </c>
    </row>
    <row r="96">
      <c r="A96" s="4">
        <v>498.0</v>
      </c>
      <c r="B96" s="4" t="s">
        <v>182</v>
      </c>
      <c r="C96" s="4" t="s">
        <v>7</v>
      </c>
      <c r="D96" s="4" t="s">
        <v>8</v>
      </c>
      <c r="E96" s="4" t="s">
        <v>9</v>
      </c>
      <c r="F96" s="4" t="s">
        <v>183</v>
      </c>
    </row>
    <row r="97">
      <c r="A97" s="4">
        <v>67.0</v>
      </c>
      <c r="B97" s="4" t="s">
        <v>184</v>
      </c>
      <c r="C97" s="4" t="s">
        <v>12</v>
      </c>
      <c r="D97" s="4" t="s">
        <v>71</v>
      </c>
      <c r="E97" s="4" t="s">
        <v>72</v>
      </c>
      <c r="F97" s="4"/>
    </row>
    <row r="98">
      <c r="A98" s="4">
        <v>94.0</v>
      </c>
      <c r="B98" s="4" t="s">
        <v>185</v>
      </c>
      <c r="C98" s="4" t="s">
        <v>12</v>
      </c>
      <c r="D98" s="4" t="s">
        <v>22</v>
      </c>
      <c r="E98" s="4" t="s">
        <v>14</v>
      </c>
      <c r="F98" s="4" t="s">
        <v>186</v>
      </c>
    </row>
    <row r="99">
      <c r="A99" s="4">
        <v>291.0</v>
      </c>
      <c r="B99" s="4" t="s">
        <v>187</v>
      </c>
      <c r="C99" s="4" t="s">
        <v>40</v>
      </c>
      <c r="D99" s="4" t="s">
        <v>41</v>
      </c>
      <c r="E99" s="4" t="s">
        <v>42</v>
      </c>
      <c r="F99" s="4" t="s">
        <v>188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33.13"/>
    <col customWidth="1" min="3" max="3" width="37.25"/>
    <col customWidth="1" min="4" max="4" width="12.13"/>
    <col customWidth="1" min="5" max="5" width="13.63"/>
    <col customWidth="1" min="6" max="6" width="12.75"/>
    <col customWidth="1" min="7" max="7" width="17.0"/>
    <col customWidth="1" min="8" max="8" width="19.75"/>
    <col customWidth="1" min="9" max="9" width="15.88"/>
    <col customWidth="1" min="10" max="10" width="15.63"/>
    <col customWidth="1" min="11" max="11" width="17.0"/>
    <col customWidth="1" min="12" max="12" width="15.0"/>
  </cols>
  <sheetData>
    <row r="1">
      <c r="A1" s="6" t="s">
        <v>189</v>
      </c>
      <c r="B1" s="6" t="s">
        <v>190</v>
      </c>
      <c r="C1" s="7" t="s">
        <v>191</v>
      </c>
      <c r="D1" s="6" t="s">
        <v>192</v>
      </c>
      <c r="E1" s="6" t="s">
        <v>193</v>
      </c>
      <c r="F1" s="6" t="s">
        <v>194</v>
      </c>
      <c r="G1" s="6" t="s">
        <v>195</v>
      </c>
      <c r="H1" s="6" t="s">
        <v>196</v>
      </c>
      <c r="I1" s="6" t="s">
        <v>197</v>
      </c>
      <c r="J1" s="6" t="s">
        <v>198</v>
      </c>
      <c r="K1" s="6" t="s">
        <v>199</v>
      </c>
      <c r="L1" s="6" t="s">
        <v>200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.5" customHeight="1">
      <c r="A2" s="4" t="s">
        <v>201</v>
      </c>
      <c r="B2" s="4" t="s">
        <v>202</v>
      </c>
      <c r="C2" s="8"/>
      <c r="D2" s="4"/>
      <c r="E2" s="4"/>
      <c r="F2" s="4"/>
      <c r="G2" s="4"/>
      <c r="H2" s="4"/>
      <c r="I2" s="4"/>
      <c r="J2" s="4"/>
      <c r="K2" s="4"/>
      <c r="L2" s="4"/>
    </row>
    <row r="3">
      <c r="A3" s="9" t="s">
        <v>203</v>
      </c>
      <c r="B3" s="9" t="s">
        <v>204</v>
      </c>
      <c r="C3" s="10" t="s">
        <v>205</v>
      </c>
      <c r="D3" s="9" t="s">
        <v>206</v>
      </c>
      <c r="E3" s="9" t="s">
        <v>58</v>
      </c>
      <c r="F3" s="9" t="s">
        <v>7</v>
      </c>
      <c r="G3" s="9" t="s">
        <v>41</v>
      </c>
      <c r="H3" s="9" t="s">
        <v>13</v>
      </c>
      <c r="I3" s="9" t="s">
        <v>207</v>
      </c>
      <c r="J3" s="9" t="s">
        <v>42</v>
      </c>
      <c r="K3" s="9" t="s">
        <v>208</v>
      </c>
      <c r="L3" s="9" t="s">
        <v>60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2" t="s">
        <v>209</v>
      </c>
      <c r="B4" s="12" t="s">
        <v>210</v>
      </c>
      <c r="C4" s="13" t="s">
        <v>211</v>
      </c>
      <c r="D4" s="12" t="s">
        <v>7</v>
      </c>
      <c r="E4" s="12" t="s">
        <v>12</v>
      </c>
      <c r="F4" s="12" t="s">
        <v>58</v>
      </c>
      <c r="G4" s="12" t="s">
        <v>212</v>
      </c>
      <c r="H4" s="12" t="s">
        <v>13</v>
      </c>
      <c r="I4" s="12" t="s">
        <v>41</v>
      </c>
      <c r="J4" s="12" t="s">
        <v>213</v>
      </c>
      <c r="K4" s="12" t="s">
        <v>208</v>
      </c>
      <c r="L4" s="12" t="s">
        <v>214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5" t="s">
        <v>215</v>
      </c>
      <c r="B5" s="15" t="s">
        <v>216</v>
      </c>
      <c r="C5" s="16" t="s">
        <v>217</v>
      </c>
      <c r="D5" s="15" t="s">
        <v>218</v>
      </c>
      <c r="E5" s="15" t="s">
        <v>12</v>
      </c>
      <c r="F5" s="15" t="s">
        <v>40</v>
      </c>
      <c r="G5" s="15" t="s">
        <v>59</v>
      </c>
      <c r="H5" s="15" t="s">
        <v>219</v>
      </c>
      <c r="I5" s="15" t="s">
        <v>8</v>
      </c>
      <c r="J5" s="15" t="s">
        <v>220</v>
      </c>
      <c r="K5" s="15" t="s">
        <v>14</v>
      </c>
      <c r="L5" s="15" t="s">
        <v>221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8" t="s">
        <v>222</v>
      </c>
      <c r="B6" s="18" t="s">
        <v>223</v>
      </c>
      <c r="C6" s="19" t="s">
        <v>224</v>
      </c>
      <c r="D6" s="18" t="s">
        <v>12</v>
      </c>
      <c r="E6" s="18" t="s">
        <v>58</v>
      </c>
      <c r="F6" s="18" t="s">
        <v>40</v>
      </c>
      <c r="G6" s="18" t="s">
        <v>207</v>
      </c>
      <c r="H6" s="18" t="s">
        <v>225</v>
      </c>
      <c r="I6" s="18" t="s">
        <v>59</v>
      </c>
      <c r="J6" s="18" t="s">
        <v>14</v>
      </c>
      <c r="K6" s="18" t="s">
        <v>226</v>
      </c>
      <c r="L6" s="18" t="s">
        <v>214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1" t="s">
        <v>227</v>
      </c>
      <c r="B7" s="21" t="s">
        <v>228</v>
      </c>
      <c r="C7" s="22" t="s">
        <v>229</v>
      </c>
      <c r="D7" s="21" t="s">
        <v>230</v>
      </c>
      <c r="E7" s="21" t="s">
        <v>7</v>
      </c>
      <c r="F7" s="21" t="s">
        <v>40</v>
      </c>
      <c r="G7" s="21" t="s">
        <v>231</v>
      </c>
      <c r="H7" s="21" t="s">
        <v>41</v>
      </c>
      <c r="I7" s="21" t="s">
        <v>8</v>
      </c>
      <c r="J7" s="21" t="s">
        <v>232</v>
      </c>
      <c r="K7" s="21" t="s">
        <v>233</v>
      </c>
      <c r="L7" s="21" t="s">
        <v>213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24" t="s">
        <v>234</v>
      </c>
      <c r="B8" s="24" t="s">
        <v>235</v>
      </c>
      <c r="C8" s="25" t="s">
        <v>236</v>
      </c>
      <c r="D8" s="25" t="s">
        <v>237</v>
      </c>
      <c r="E8" s="24" t="s">
        <v>17</v>
      </c>
      <c r="F8" s="24" t="s">
        <v>58</v>
      </c>
      <c r="G8" s="25" t="s">
        <v>238</v>
      </c>
      <c r="H8" s="25" t="s">
        <v>239</v>
      </c>
      <c r="I8" s="25" t="s">
        <v>240</v>
      </c>
      <c r="J8" s="25" t="s">
        <v>241</v>
      </c>
      <c r="K8" s="25" t="s">
        <v>242</v>
      </c>
      <c r="L8" s="25" t="s">
        <v>243</v>
      </c>
    </row>
    <row r="9">
      <c r="C9" s="26"/>
    </row>
    <row r="10">
      <c r="C10" s="26"/>
    </row>
    <row r="11">
      <c r="C11" s="26"/>
    </row>
    <row r="12">
      <c r="C12" s="26"/>
    </row>
    <row r="13">
      <c r="C13" s="26"/>
    </row>
    <row r="14">
      <c r="C14" s="26"/>
    </row>
    <row r="15">
      <c r="C15" s="26"/>
    </row>
    <row r="16">
      <c r="C16" s="26"/>
    </row>
    <row r="17">
      <c r="C17" s="26"/>
    </row>
    <row r="18">
      <c r="C18" s="26"/>
    </row>
    <row r="19">
      <c r="C19" s="26"/>
    </row>
    <row r="20">
      <c r="C20" s="26"/>
    </row>
    <row r="21">
      <c r="C21" s="26"/>
    </row>
    <row r="22">
      <c r="C22" s="26"/>
    </row>
    <row r="23">
      <c r="C23" s="26"/>
    </row>
    <row r="24">
      <c r="C24" s="26"/>
    </row>
    <row r="25">
      <c r="C25" s="26"/>
    </row>
    <row r="26">
      <c r="C26" s="26"/>
    </row>
    <row r="27">
      <c r="C27" s="26"/>
    </row>
    <row r="28">
      <c r="C28" s="26"/>
    </row>
    <row r="29">
      <c r="C29" s="26"/>
    </row>
    <row r="30">
      <c r="C30" s="26"/>
    </row>
    <row r="31">
      <c r="C31" s="26"/>
    </row>
    <row r="32">
      <c r="C32" s="26"/>
    </row>
    <row r="33">
      <c r="C33" s="26"/>
    </row>
    <row r="34">
      <c r="C34" s="26"/>
    </row>
    <row r="35">
      <c r="C35" s="26"/>
    </row>
    <row r="36">
      <c r="C36" s="26"/>
    </row>
    <row r="37">
      <c r="C37" s="26"/>
    </row>
    <row r="38">
      <c r="C38" s="26"/>
    </row>
    <row r="39">
      <c r="C39" s="26"/>
    </row>
    <row r="40">
      <c r="C40" s="26"/>
    </row>
    <row r="41">
      <c r="C41" s="26"/>
    </row>
    <row r="42">
      <c r="C42" s="26"/>
    </row>
    <row r="43">
      <c r="C43" s="26"/>
    </row>
    <row r="44">
      <c r="C44" s="26"/>
    </row>
    <row r="45">
      <c r="C45" s="26"/>
    </row>
    <row r="46">
      <c r="C46" s="26"/>
    </row>
    <row r="47">
      <c r="C47" s="26"/>
    </row>
    <row r="48">
      <c r="C48" s="26"/>
    </row>
    <row r="49">
      <c r="C49" s="26"/>
    </row>
    <row r="50">
      <c r="C50" s="26"/>
    </row>
    <row r="51">
      <c r="C51" s="26"/>
    </row>
    <row r="52">
      <c r="C52" s="26"/>
    </row>
    <row r="53">
      <c r="C53" s="26"/>
    </row>
    <row r="54">
      <c r="C54" s="26"/>
    </row>
    <row r="55">
      <c r="C55" s="26"/>
    </row>
    <row r="56">
      <c r="C56" s="26"/>
    </row>
    <row r="57">
      <c r="C57" s="26"/>
    </row>
    <row r="58">
      <c r="C58" s="26"/>
    </row>
    <row r="59">
      <c r="C59" s="26"/>
    </row>
    <row r="60">
      <c r="C60" s="26"/>
    </row>
    <row r="61">
      <c r="C61" s="26"/>
    </row>
    <row r="62">
      <c r="C62" s="26"/>
    </row>
    <row r="63">
      <c r="C63" s="26"/>
    </row>
    <row r="64">
      <c r="C64" s="26"/>
    </row>
    <row r="65">
      <c r="C65" s="26"/>
    </row>
    <row r="66">
      <c r="C66" s="26"/>
    </row>
    <row r="67">
      <c r="C67" s="26"/>
    </row>
    <row r="68">
      <c r="C68" s="26"/>
    </row>
    <row r="69">
      <c r="C69" s="26"/>
    </row>
    <row r="70">
      <c r="C70" s="26"/>
    </row>
    <row r="71">
      <c r="C71" s="26"/>
    </row>
    <row r="72">
      <c r="C72" s="26"/>
    </row>
    <row r="73">
      <c r="C73" s="26"/>
    </row>
    <row r="74">
      <c r="C74" s="26"/>
    </row>
    <row r="75">
      <c r="C75" s="26"/>
    </row>
    <row r="76">
      <c r="C76" s="26"/>
    </row>
    <row r="77">
      <c r="C77" s="26"/>
    </row>
    <row r="78">
      <c r="C78" s="26"/>
    </row>
    <row r="79">
      <c r="C79" s="26"/>
    </row>
    <row r="80">
      <c r="C80" s="26"/>
    </row>
    <row r="81">
      <c r="C81" s="26"/>
    </row>
    <row r="82">
      <c r="C82" s="26"/>
    </row>
    <row r="83">
      <c r="C83" s="26"/>
    </row>
    <row r="84">
      <c r="C84" s="26"/>
    </row>
    <row r="85">
      <c r="C85" s="26"/>
    </row>
    <row r="86">
      <c r="C86" s="26"/>
    </row>
    <row r="87">
      <c r="C87" s="26"/>
    </row>
    <row r="88">
      <c r="C88" s="26"/>
    </row>
    <row r="89">
      <c r="C89" s="26"/>
    </row>
    <row r="90">
      <c r="C90" s="26"/>
    </row>
    <row r="91">
      <c r="C91" s="26"/>
    </row>
    <row r="92">
      <c r="C92" s="26"/>
    </row>
    <row r="93">
      <c r="C93" s="26"/>
    </row>
    <row r="94">
      <c r="C94" s="26"/>
    </row>
    <row r="95">
      <c r="C95" s="26"/>
    </row>
    <row r="96">
      <c r="C96" s="26"/>
    </row>
    <row r="97">
      <c r="C97" s="26"/>
    </row>
    <row r="98">
      <c r="C98" s="26"/>
    </row>
    <row r="99">
      <c r="C99" s="26"/>
    </row>
    <row r="100">
      <c r="C100" s="26"/>
    </row>
    <row r="101">
      <c r="C101" s="26"/>
    </row>
    <row r="102">
      <c r="C102" s="26"/>
    </row>
    <row r="103">
      <c r="C103" s="26"/>
    </row>
    <row r="104">
      <c r="C104" s="26"/>
    </row>
    <row r="105">
      <c r="C105" s="26"/>
    </row>
    <row r="106">
      <c r="C106" s="26"/>
    </row>
    <row r="107">
      <c r="C107" s="26"/>
    </row>
    <row r="108">
      <c r="C108" s="26"/>
    </row>
    <row r="109">
      <c r="C109" s="26"/>
    </row>
    <row r="110">
      <c r="C110" s="26"/>
    </row>
    <row r="111">
      <c r="C111" s="26"/>
    </row>
    <row r="112">
      <c r="C112" s="26"/>
    </row>
    <row r="113">
      <c r="C113" s="26"/>
    </row>
    <row r="114">
      <c r="C114" s="26"/>
    </row>
    <row r="115">
      <c r="C115" s="26"/>
    </row>
    <row r="116">
      <c r="C116" s="26"/>
    </row>
    <row r="117">
      <c r="C117" s="26"/>
    </row>
    <row r="118">
      <c r="C118" s="26"/>
    </row>
    <row r="119">
      <c r="C119" s="26"/>
    </row>
    <row r="120">
      <c r="C120" s="26"/>
    </row>
    <row r="121">
      <c r="C121" s="26"/>
    </row>
    <row r="122">
      <c r="C122" s="26"/>
    </row>
    <row r="123">
      <c r="C123" s="26"/>
    </row>
    <row r="124">
      <c r="C124" s="26"/>
    </row>
    <row r="125">
      <c r="C125" s="26"/>
    </row>
    <row r="126">
      <c r="C126" s="26"/>
    </row>
    <row r="127">
      <c r="C127" s="26"/>
    </row>
    <row r="128">
      <c r="C128" s="26"/>
    </row>
    <row r="129">
      <c r="C129" s="26"/>
    </row>
    <row r="130">
      <c r="C130" s="26"/>
    </row>
    <row r="131">
      <c r="C131" s="26"/>
    </row>
    <row r="132">
      <c r="C132" s="26"/>
    </row>
    <row r="133">
      <c r="C133" s="26"/>
    </row>
    <row r="134">
      <c r="C134" s="26"/>
    </row>
    <row r="135">
      <c r="C135" s="26"/>
    </row>
    <row r="136">
      <c r="C136" s="26"/>
    </row>
    <row r="137">
      <c r="C137" s="26"/>
    </row>
    <row r="138">
      <c r="C138" s="26"/>
    </row>
    <row r="139">
      <c r="C139" s="26"/>
    </row>
    <row r="140">
      <c r="C140" s="26"/>
    </row>
    <row r="141">
      <c r="C141" s="26"/>
    </row>
    <row r="142">
      <c r="C142" s="26"/>
    </row>
    <row r="143">
      <c r="C143" s="26"/>
    </row>
    <row r="144">
      <c r="C144" s="26"/>
    </row>
    <row r="145">
      <c r="C145" s="26"/>
    </row>
    <row r="146">
      <c r="C146" s="26"/>
    </row>
    <row r="147">
      <c r="C147" s="26"/>
    </row>
    <row r="148">
      <c r="C148" s="26"/>
    </row>
    <row r="149">
      <c r="C149" s="26"/>
    </row>
    <row r="150">
      <c r="C150" s="26"/>
    </row>
    <row r="151">
      <c r="C151" s="26"/>
    </row>
    <row r="152">
      <c r="C152" s="26"/>
    </row>
    <row r="153">
      <c r="C153" s="26"/>
    </row>
    <row r="154">
      <c r="C154" s="26"/>
    </row>
    <row r="155">
      <c r="C155" s="26"/>
    </row>
    <row r="156">
      <c r="C156" s="26"/>
    </row>
    <row r="157">
      <c r="C157" s="26"/>
    </row>
    <row r="158">
      <c r="C158" s="26"/>
    </row>
    <row r="159">
      <c r="C159" s="26"/>
    </row>
    <row r="160">
      <c r="C160" s="26"/>
    </row>
    <row r="161">
      <c r="C161" s="26"/>
    </row>
    <row r="162">
      <c r="C162" s="26"/>
    </row>
    <row r="163">
      <c r="C163" s="26"/>
    </row>
    <row r="164">
      <c r="C164" s="26"/>
    </row>
    <row r="165">
      <c r="C165" s="26"/>
    </row>
    <row r="166">
      <c r="C166" s="26"/>
    </row>
    <row r="167">
      <c r="C167" s="26"/>
    </row>
    <row r="168">
      <c r="C168" s="26"/>
    </row>
    <row r="169">
      <c r="C169" s="26"/>
    </row>
    <row r="170">
      <c r="C170" s="26"/>
    </row>
    <row r="171">
      <c r="C171" s="26"/>
    </row>
    <row r="172">
      <c r="C172" s="26"/>
    </row>
    <row r="173">
      <c r="C173" s="26"/>
    </row>
    <row r="174">
      <c r="C174" s="26"/>
    </row>
    <row r="175">
      <c r="C175" s="26"/>
    </row>
    <row r="176">
      <c r="C176" s="26"/>
    </row>
    <row r="177">
      <c r="C177" s="26"/>
    </row>
    <row r="178">
      <c r="C178" s="26"/>
    </row>
    <row r="179">
      <c r="C179" s="26"/>
    </row>
    <row r="180">
      <c r="C180" s="26"/>
    </row>
    <row r="181">
      <c r="C181" s="26"/>
    </row>
    <row r="182">
      <c r="C182" s="26"/>
    </row>
    <row r="183">
      <c r="C183" s="26"/>
    </row>
    <row r="184">
      <c r="C184" s="26"/>
    </row>
    <row r="185">
      <c r="C185" s="26"/>
    </row>
    <row r="186">
      <c r="C186" s="26"/>
    </row>
    <row r="187">
      <c r="C187" s="26"/>
    </row>
    <row r="188">
      <c r="C188" s="26"/>
    </row>
    <row r="189">
      <c r="C189" s="26"/>
    </row>
    <row r="190">
      <c r="C190" s="26"/>
    </row>
    <row r="191">
      <c r="C191" s="26"/>
    </row>
    <row r="192">
      <c r="C192" s="26"/>
    </row>
    <row r="193">
      <c r="C193" s="26"/>
    </row>
    <row r="194">
      <c r="C194" s="26"/>
    </row>
    <row r="195">
      <c r="C195" s="26"/>
    </row>
    <row r="196">
      <c r="C196" s="26"/>
    </row>
    <row r="197">
      <c r="C197" s="26"/>
    </row>
    <row r="198">
      <c r="C198" s="26"/>
    </row>
    <row r="199">
      <c r="C199" s="26"/>
    </row>
    <row r="200">
      <c r="C200" s="26"/>
    </row>
    <row r="201">
      <c r="C201" s="26"/>
    </row>
    <row r="202">
      <c r="C202" s="26"/>
    </row>
    <row r="203">
      <c r="C203" s="26"/>
    </row>
    <row r="204">
      <c r="C204" s="26"/>
    </row>
    <row r="205">
      <c r="C205" s="26"/>
    </row>
    <row r="206">
      <c r="C206" s="26"/>
    </row>
    <row r="207">
      <c r="C207" s="26"/>
    </row>
    <row r="208">
      <c r="C208" s="26"/>
    </row>
    <row r="209">
      <c r="C209" s="26"/>
    </row>
    <row r="210">
      <c r="C210" s="26"/>
    </row>
    <row r="211">
      <c r="C211" s="26"/>
    </row>
    <row r="212">
      <c r="C212" s="26"/>
    </row>
    <row r="213">
      <c r="C213" s="26"/>
    </row>
    <row r="214">
      <c r="C214" s="26"/>
    </row>
    <row r="215">
      <c r="C215" s="26"/>
    </row>
    <row r="216">
      <c r="C216" s="26"/>
    </row>
    <row r="217">
      <c r="C217" s="26"/>
    </row>
    <row r="218">
      <c r="C218" s="26"/>
    </row>
    <row r="219">
      <c r="C219" s="26"/>
    </row>
    <row r="220">
      <c r="C220" s="26"/>
    </row>
    <row r="221">
      <c r="C221" s="26"/>
    </row>
    <row r="222">
      <c r="C222" s="26"/>
    </row>
    <row r="223">
      <c r="C223" s="26"/>
    </row>
    <row r="224">
      <c r="C224" s="26"/>
    </row>
    <row r="225">
      <c r="C225" s="26"/>
    </row>
    <row r="226">
      <c r="C226" s="26"/>
    </row>
    <row r="227">
      <c r="C227" s="26"/>
    </row>
    <row r="228">
      <c r="C228" s="26"/>
    </row>
    <row r="229">
      <c r="C229" s="26"/>
    </row>
    <row r="230">
      <c r="C230" s="26"/>
    </row>
    <row r="231">
      <c r="C231" s="26"/>
    </row>
    <row r="232">
      <c r="C232" s="26"/>
    </row>
    <row r="233">
      <c r="C233" s="26"/>
    </row>
    <row r="234">
      <c r="C234" s="26"/>
    </row>
    <row r="235">
      <c r="C235" s="26"/>
    </row>
    <row r="236">
      <c r="C236" s="26"/>
    </row>
    <row r="237">
      <c r="C237" s="26"/>
    </row>
    <row r="238">
      <c r="C238" s="26"/>
    </row>
    <row r="239">
      <c r="C239" s="26"/>
    </row>
    <row r="240">
      <c r="C240" s="26"/>
    </row>
    <row r="241">
      <c r="C241" s="26"/>
    </row>
    <row r="242">
      <c r="C242" s="26"/>
    </row>
    <row r="243">
      <c r="C243" s="26"/>
    </row>
    <row r="244">
      <c r="C244" s="26"/>
    </row>
    <row r="245">
      <c r="C245" s="26"/>
    </row>
    <row r="246">
      <c r="C246" s="26"/>
    </row>
    <row r="247">
      <c r="C247" s="26"/>
    </row>
    <row r="248">
      <c r="C248" s="26"/>
    </row>
    <row r="249">
      <c r="C249" s="26"/>
    </row>
    <row r="250">
      <c r="C250" s="26"/>
    </row>
    <row r="251">
      <c r="C251" s="26"/>
    </row>
    <row r="252">
      <c r="C252" s="26"/>
    </row>
    <row r="253">
      <c r="C253" s="26"/>
    </row>
    <row r="254">
      <c r="C254" s="26"/>
    </row>
    <row r="255">
      <c r="C255" s="26"/>
    </row>
    <row r="256">
      <c r="C256" s="26"/>
    </row>
    <row r="257">
      <c r="C257" s="26"/>
    </row>
    <row r="258">
      <c r="C258" s="26"/>
    </row>
    <row r="259">
      <c r="C259" s="26"/>
    </row>
    <row r="260">
      <c r="C260" s="26"/>
    </row>
    <row r="261">
      <c r="C261" s="26"/>
    </row>
    <row r="262">
      <c r="C262" s="26"/>
    </row>
    <row r="263">
      <c r="C263" s="26"/>
    </row>
    <row r="264">
      <c r="C264" s="26"/>
    </row>
    <row r="265">
      <c r="C265" s="26"/>
    </row>
    <row r="266">
      <c r="C266" s="26"/>
    </row>
    <row r="267">
      <c r="C267" s="26"/>
    </row>
    <row r="268">
      <c r="C268" s="26"/>
    </row>
    <row r="269">
      <c r="C269" s="26"/>
    </row>
    <row r="270">
      <c r="C270" s="26"/>
    </row>
    <row r="271">
      <c r="C271" s="26"/>
    </row>
    <row r="272">
      <c r="C272" s="26"/>
    </row>
    <row r="273">
      <c r="C273" s="26"/>
    </row>
    <row r="274">
      <c r="C274" s="26"/>
    </row>
    <row r="275">
      <c r="C275" s="26"/>
    </row>
    <row r="276">
      <c r="C276" s="26"/>
    </row>
    <row r="277">
      <c r="C277" s="26"/>
    </row>
    <row r="278">
      <c r="C278" s="26"/>
    </row>
    <row r="279">
      <c r="C279" s="26"/>
    </row>
    <row r="280">
      <c r="C280" s="26"/>
    </row>
    <row r="281">
      <c r="C281" s="26"/>
    </row>
    <row r="282">
      <c r="C282" s="26"/>
    </row>
    <row r="283">
      <c r="C283" s="26"/>
    </row>
    <row r="284">
      <c r="C284" s="26"/>
    </row>
    <row r="285">
      <c r="C285" s="26"/>
    </row>
    <row r="286">
      <c r="C286" s="26"/>
    </row>
    <row r="287">
      <c r="C287" s="26"/>
    </row>
    <row r="288">
      <c r="C288" s="26"/>
    </row>
    <row r="289">
      <c r="C289" s="26"/>
    </row>
    <row r="290">
      <c r="C290" s="26"/>
    </row>
    <row r="291">
      <c r="C291" s="26"/>
    </row>
    <row r="292">
      <c r="C292" s="26"/>
    </row>
    <row r="293">
      <c r="C293" s="26"/>
    </row>
    <row r="294">
      <c r="C294" s="26"/>
    </row>
    <row r="295">
      <c r="C295" s="26"/>
    </row>
    <row r="296">
      <c r="C296" s="26"/>
    </row>
    <row r="297">
      <c r="C297" s="26"/>
    </row>
    <row r="298">
      <c r="C298" s="26"/>
    </row>
    <row r="299">
      <c r="C299" s="26"/>
    </row>
    <row r="300">
      <c r="C300" s="26"/>
    </row>
    <row r="301">
      <c r="C301" s="26"/>
    </row>
    <row r="302">
      <c r="C302" s="26"/>
    </row>
    <row r="303">
      <c r="C303" s="26"/>
    </row>
    <row r="304">
      <c r="C304" s="26"/>
    </row>
    <row r="305">
      <c r="C305" s="26"/>
    </row>
    <row r="306">
      <c r="C306" s="26"/>
    </row>
    <row r="307">
      <c r="C307" s="26"/>
    </row>
    <row r="308">
      <c r="C308" s="26"/>
    </row>
    <row r="309">
      <c r="C309" s="26"/>
    </row>
    <row r="310">
      <c r="C310" s="26"/>
    </row>
    <row r="311">
      <c r="C311" s="26"/>
    </row>
    <row r="312">
      <c r="C312" s="26"/>
    </row>
    <row r="313">
      <c r="C313" s="26"/>
    </row>
    <row r="314">
      <c r="C314" s="26"/>
    </row>
    <row r="315">
      <c r="C315" s="26"/>
    </row>
    <row r="316">
      <c r="C316" s="26"/>
    </row>
    <row r="317">
      <c r="C317" s="26"/>
    </row>
    <row r="318">
      <c r="C318" s="26"/>
    </row>
    <row r="319">
      <c r="C319" s="26"/>
    </row>
    <row r="320">
      <c r="C320" s="26"/>
    </row>
    <row r="321">
      <c r="C321" s="26"/>
    </row>
    <row r="322">
      <c r="C322" s="26"/>
    </row>
    <row r="323">
      <c r="C323" s="26"/>
    </row>
    <row r="324">
      <c r="C324" s="26"/>
    </row>
    <row r="325">
      <c r="C325" s="26"/>
    </row>
    <row r="326">
      <c r="C326" s="26"/>
    </row>
    <row r="327">
      <c r="C327" s="26"/>
    </row>
    <row r="328">
      <c r="C328" s="26"/>
    </row>
    <row r="329">
      <c r="C329" s="26"/>
    </row>
    <row r="330">
      <c r="C330" s="26"/>
    </row>
    <row r="331">
      <c r="C331" s="26"/>
    </row>
    <row r="332">
      <c r="C332" s="26"/>
    </row>
    <row r="333">
      <c r="C333" s="26"/>
    </row>
    <row r="334">
      <c r="C334" s="26"/>
    </row>
    <row r="335">
      <c r="C335" s="26"/>
    </row>
    <row r="336">
      <c r="C336" s="26"/>
    </row>
    <row r="337">
      <c r="C337" s="26"/>
    </row>
    <row r="338">
      <c r="C338" s="26"/>
    </row>
    <row r="339">
      <c r="C339" s="26"/>
    </row>
    <row r="340">
      <c r="C340" s="26"/>
    </row>
    <row r="341">
      <c r="C341" s="26"/>
    </row>
    <row r="342">
      <c r="C342" s="26"/>
    </row>
    <row r="343">
      <c r="C343" s="26"/>
    </row>
    <row r="344">
      <c r="C344" s="26"/>
    </row>
    <row r="345">
      <c r="C345" s="26"/>
    </row>
    <row r="346">
      <c r="C346" s="26"/>
    </row>
    <row r="347">
      <c r="C347" s="26"/>
    </row>
    <row r="348">
      <c r="C348" s="26"/>
    </row>
    <row r="349">
      <c r="C349" s="26"/>
    </row>
    <row r="350">
      <c r="C350" s="26"/>
    </row>
    <row r="351">
      <c r="C351" s="26"/>
    </row>
    <row r="352">
      <c r="C352" s="26"/>
    </row>
    <row r="353">
      <c r="C353" s="26"/>
    </row>
    <row r="354">
      <c r="C354" s="26"/>
    </row>
    <row r="355">
      <c r="C355" s="26"/>
    </row>
    <row r="356">
      <c r="C356" s="26"/>
    </row>
    <row r="357">
      <c r="C357" s="26"/>
    </row>
    <row r="358">
      <c r="C358" s="26"/>
    </row>
    <row r="359">
      <c r="C359" s="26"/>
    </row>
    <row r="360">
      <c r="C360" s="26"/>
    </row>
    <row r="361">
      <c r="C361" s="26"/>
    </row>
    <row r="362">
      <c r="C362" s="26"/>
    </row>
    <row r="363">
      <c r="C363" s="26"/>
    </row>
    <row r="364">
      <c r="C364" s="26"/>
    </row>
    <row r="365">
      <c r="C365" s="26"/>
    </row>
    <row r="366">
      <c r="C366" s="26"/>
    </row>
    <row r="367">
      <c r="C367" s="26"/>
    </row>
    <row r="368">
      <c r="C368" s="26"/>
    </row>
    <row r="369">
      <c r="C369" s="26"/>
    </row>
    <row r="370">
      <c r="C370" s="26"/>
    </row>
    <row r="371">
      <c r="C371" s="26"/>
    </row>
    <row r="372">
      <c r="C372" s="26"/>
    </row>
    <row r="373">
      <c r="C373" s="26"/>
    </row>
    <row r="374">
      <c r="C374" s="26"/>
    </row>
    <row r="375">
      <c r="C375" s="26"/>
    </row>
    <row r="376">
      <c r="C376" s="26"/>
    </row>
    <row r="377">
      <c r="C377" s="26"/>
    </row>
    <row r="378">
      <c r="C378" s="26"/>
    </row>
    <row r="379">
      <c r="C379" s="26"/>
    </row>
    <row r="380">
      <c r="C380" s="26"/>
    </row>
    <row r="381">
      <c r="C381" s="26"/>
    </row>
    <row r="382">
      <c r="C382" s="26"/>
    </row>
    <row r="383">
      <c r="C383" s="26"/>
    </row>
    <row r="384">
      <c r="C384" s="26"/>
    </row>
    <row r="385">
      <c r="C385" s="26"/>
    </row>
    <row r="386">
      <c r="C386" s="26"/>
    </row>
    <row r="387">
      <c r="C387" s="26"/>
    </row>
    <row r="388">
      <c r="C388" s="26"/>
    </row>
    <row r="389">
      <c r="C389" s="26"/>
    </row>
    <row r="390">
      <c r="C390" s="26"/>
    </row>
    <row r="391">
      <c r="C391" s="26"/>
    </row>
    <row r="392">
      <c r="C392" s="26"/>
    </row>
    <row r="393">
      <c r="C393" s="26"/>
    </row>
    <row r="394">
      <c r="C394" s="26"/>
    </row>
    <row r="395">
      <c r="C395" s="26"/>
    </row>
    <row r="396">
      <c r="C396" s="26"/>
    </row>
    <row r="397">
      <c r="C397" s="26"/>
    </row>
    <row r="398">
      <c r="C398" s="26"/>
    </row>
    <row r="399">
      <c r="C399" s="26"/>
    </row>
    <row r="400">
      <c r="C400" s="26"/>
    </row>
    <row r="401">
      <c r="C401" s="26"/>
    </row>
    <row r="402">
      <c r="C402" s="26"/>
    </row>
    <row r="403">
      <c r="C403" s="26"/>
    </row>
    <row r="404">
      <c r="C404" s="26"/>
    </row>
    <row r="405">
      <c r="C405" s="26"/>
    </row>
    <row r="406">
      <c r="C406" s="26"/>
    </row>
    <row r="407">
      <c r="C407" s="26"/>
    </row>
    <row r="408">
      <c r="C408" s="26"/>
    </row>
    <row r="409">
      <c r="C409" s="26"/>
    </row>
    <row r="410">
      <c r="C410" s="26"/>
    </row>
    <row r="411">
      <c r="C411" s="26"/>
    </row>
    <row r="412">
      <c r="C412" s="26"/>
    </row>
    <row r="413">
      <c r="C413" s="26"/>
    </row>
    <row r="414">
      <c r="C414" s="26"/>
    </row>
    <row r="415">
      <c r="C415" s="26"/>
    </row>
    <row r="416">
      <c r="C416" s="26"/>
    </row>
    <row r="417">
      <c r="C417" s="26"/>
    </row>
    <row r="418">
      <c r="C418" s="26"/>
    </row>
    <row r="419">
      <c r="C419" s="26"/>
    </row>
    <row r="420">
      <c r="C420" s="26"/>
    </row>
    <row r="421">
      <c r="C421" s="26"/>
    </row>
    <row r="422">
      <c r="C422" s="26"/>
    </row>
    <row r="423">
      <c r="C423" s="26"/>
    </row>
    <row r="424">
      <c r="C424" s="26"/>
    </row>
    <row r="425">
      <c r="C425" s="26"/>
    </row>
    <row r="426">
      <c r="C426" s="26"/>
    </row>
    <row r="427">
      <c r="C427" s="26"/>
    </row>
    <row r="428">
      <c r="C428" s="26"/>
    </row>
    <row r="429">
      <c r="C429" s="26"/>
    </row>
    <row r="430">
      <c r="C430" s="26"/>
    </row>
    <row r="431">
      <c r="C431" s="26"/>
    </row>
    <row r="432">
      <c r="C432" s="26"/>
    </row>
    <row r="433">
      <c r="C433" s="26"/>
    </row>
    <row r="434">
      <c r="C434" s="26"/>
    </row>
    <row r="435">
      <c r="C435" s="26"/>
    </row>
    <row r="436">
      <c r="C436" s="26"/>
    </row>
    <row r="437">
      <c r="C437" s="26"/>
    </row>
    <row r="438">
      <c r="C438" s="26"/>
    </row>
    <row r="439">
      <c r="C439" s="26"/>
    </row>
    <row r="440">
      <c r="C440" s="26"/>
    </row>
    <row r="441">
      <c r="C441" s="26"/>
    </row>
    <row r="442">
      <c r="C442" s="26"/>
    </row>
    <row r="443">
      <c r="C443" s="26"/>
    </row>
    <row r="444">
      <c r="C444" s="26"/>
    </row>
    <row r="445">
      <c r="C445" s="26"/>
    </row>
    <row r="446">
      <c r="C446" s="26"/>
    </row>
    <row r="447">
      <c r="C447" s="26"/>
    </row>
    <row r="448">
      <c r="C448" s="26"/>
    </row>
    <row r="449">
      <c r="C449" s="26"/>
    </row>
    <row r="450">
      <c r="C450" s="26"/>
    </row>
    <row r="451">
      <c r="C451" s="26"/>
    </row>
    <row r="452">
      <c r="C452" s="26"/>
    </row>
    <row r="453">
      <c r="C453" s="26"/>
    </row>
    <row r="454">
      <c r="C454" s="26"/>
    </row>
    <row r="455">
      <c r="C455" s="26"/>
    </row>
    <row r="456">
      <c r="C456" s="26"/>
    </row>
    <row r="457">
      <c r="C457" s="26"/>
    </row>
    <row r="458">
      <c r="C458" s="26"/>
    </row>
    <row r="459">
      <c r="C459" s="26"/>
    </row>
    <row r="460">
      <c r="C460" s="26"/>
    </row>
    <row r="461">
      <c r="C461" s="26"/>
    </row>
    <row r="462">
      <c r="C462" s="26"/>
    </row>
    <row r="463">
      <c r="C463" s="26"/>
    </row>
    <row r="464">
      <c r="C464" s="26"/>
    </row>
    <row r="465">
      <c r="C465" s="26"/>
    </row>
    <row r="466">
      <c r="C466" s="26"/>
    </row>
    <row r="467">
      <c r="C467" s="26"/>
    </row>
    <row r="468">
      <c r="C468" s="26"/>
    </row>
    <row r="469">
      <c r="C469" s="26"/>
    </row>
    <row r="470">
      <c r="C470" s="26"/>
    </row>
    <row r="471">
      <c r="C471" s="26"/>
    </row>
    <row r="472">
      <c r="C472" s="26"/>
    </row>
    <row r="473">
      <c r="C473" s="26"/>
    </row>
    <row r="474">
      <c r="C474" s="26"/>
    </row>
    <row r="475">
      <c r="C475" s="26"/>
    </row>
    <row r="476">
      <c r="C476" s="26"/>
    </row>
    <row r="477">
      <c r="C477" s="26"/>
    </row>
    <row r="478">
      <c r="C478" s="26"/>
    </row>
    <row r="479">
      <c r="C479" s="26"/>
    </row>
    <row r="480">
      <c r="C480" s="26"/>
    </row>
    <row r="481">
      <c r="C481" s="26"/>
    </row>
    <row r="482">
      <c r="C482" s="26"/>
    </row>
    <row r="483">
      <c r="C483" s="26"/>
    </row>
    <row r="484">
      <c r="C484" s="26"/>
    </row>
    <row r="485">
      <c r="C485" s="26"/>
    </row>
    <row r="486">
      <c r="C486" s="26"/>
    </row>
    <row r="487">
      <c r="C487" s="26"/>
    </row>
    <row r="488">
      <c r="C488" s="26"/>
    </row>
    <row r="489">
      <c r="C489" s="26"/>
    </row>
    <row r="490">
      <c r="C490" s="26"/>
    </row>
    <row r="491">
      <c r="C491" s="26"/>
    </row>
    <row r="492">
      <c r="C492" s="26"/>
    </row>
    <row r="493">
      <c r="C493" s="26"/>
    </row>
    <row r="494">
      <c r="C494" s="26"/>
    </row>
    <row r="495">
      <c r="C495" s="26"/>
    </row>
    <row r="496">
      <c r="C496" s="26"/>
    </row>
    <row r="497">
      <c r="C497" s="26"/>
    </row>
    <row r="498">
      <c r="C498" s="26"/>
    </row>
    <row r="499">
      <c r="C499" s="26"/>
    </row>
    <row r="500">
      <c r="C500" s="26"/>
    </row>
    <row r="501">
      <c r="C501" s="26"/>
    </row>
    <row r="502">
      <c r="C502" s="26"/>
    </row>
    <row r="503">
      <c r="C503" s="26"/>
    </row>
    <row r="504">
      <c r="C504" s="26"/>
    </row>
    <row r="505">
      <c r="C505" s="26"/>
    </row>
    <row r="506">
      <c r="C506" s="26"/>
    </row>
    <row r="507">
      <c r="C507" s="26"/>
    </row>
    <row r="508">
      <c r="C508" s="26"/>
    </row>
    <row r="509">
      <c r="C509" s="26"/>
    </row>
    <row r="510">
      <c r="C510" s="26"/>
    </row>
    <row r="511">
      <c r="C511" s="26"/>
    </row>
    <row r="512">
      <c r="C512" s="26"/>
    </row>
    <row r="513">
      <c r="C513" s="26"/>
    </row>
    <row r="514">
      <c r="C514" s="26"/>
    </row>
    <row r="515">
      <c r="C515" s="26"/>
    </row>
    <row r="516">
      <c r="C516" s="26"/>
    </row>
    <row r="517">
      <c r="C517" s="26"/>
    </row>
    <row r="518">
      <c r="C518" s="26"/>
    </row>
    <row r="519">
      <c r="C519" s="26"/>
    </row>
    <row r="520">
      <c r="C520" s="26"/>
    </row>
    <row r="521">
      <c r="C521" s="26"/>
    </row>
    <row r="522">
      <c r="C522" s="26"/>
    </row>
    <row r="523">
      <c r="C523" s="26"/>
    </row>
    <row r="524">
      <c r="C524" s="26"/>
    </row>
    <row r="525">
      <c r="C525" s="26"/>
    </row>
    <row r="526">
      <c r="C526" s="26"/>
    </row>
    <row r="527">
      <c r="C527" s="26"/>
    </row>
    <row r="528">
      <c r="C528" s="26"/>
    </row>
    <row r="529">
      <c r="C529" s="26"/>
    </row>
    <row r="530">
      <c r="C530" s="26"/>
    </row>
    <row r="531">
      <c r="C531" s="26"/>
    </row>
    <row r="532">
      <c r="C532" s="26"/>
    </row>
    <row r="533">
      <c r="C533" s="26"/>
    </row>
    <row r="534">
      <c r="C534" s="26"/>
    </row>
    <row r="535">
      <c r="C535" s="26"/>
    </row>
    <row r="536">
      <c r="C536" s="26"/>
    </row>
    <row r="537">
      <c r="C537" s="26"/>
    </row>
    <row r="538">
      <c r="C538" s="26"/>
    </row>
    <row r="539">
      <c r="C539" s="26"/>
    </row>
    <row r="540">
      <c r="C540" s="26"/>
    </row>
    <row r="541">
      <c r="C541" s="26"/>
    </row>
    <row r="542">
      <c r="C542" s="26"/>
    </row>
    <row r="543">
      <c r="C543" s="26"/>
    </row>
    <row r="544">
      <c r="C544" s="26"/>
    </row>
    <row r="545">
      <c r="C545" s="26"/>
    </row>
    <row r="546">
      <c r="C546" s="26"/>
    </row>
    <row r="547">
      <c r="C547" s="26"/>
    </row>
    <row r="548">
      <c r="C548" s="26"/>
    </row>
    <row r="549">
      <c r="C549" s="26"/>
    </row>
    <row r="550">
      <c r="C550" s="26"/>
    </row>
    <row r="551">
      <c r="C551" s="26"/>
    </row>
    <row r="552">
      <c r="C552" s="26"/>
    </row>
    <row r="553">
      <c r="C553" s="26"/>
    </row>
    <row r="554">
      <c r="C554" s="26"/>
    </row>
    <row r="555">
      <c r="C555" s="26"/>
    </row>
    <row r="556">
      <c r="C556" s="26"/>
    </row>
    <row r="557">
      <c r="C557" s="26"/>
    </row>
    <row r="558">
      <c r="C558" s="26"/>
    </row>
    <row r="559">
      <c r="C559" s="26"/>
    </row>
    <row r="560">
      <c r="C560" s="26"/>
    </row>
    <row r="561">
      <c r="C561" s="26"/>
    </row>
    <row r="562">
      <c r="C562" s="26"/>
    </row>
    <row r="563">
      <c r="C563" s="26"/>
    </row>
    <row r="564">
      <c r="C564" s="26"/>
    </row>
    <row r="565">
      <c r="C565" s="26"/>
    </row>
    <row r="566">
      <c r="C566" s="26"/>
    </row>
    <row r="567">
      <c r="C567" s="26"/>
    </row>
    <row r="568">
      <c r="C568" s="26"/>
    </row>
    <row r="569">
      <c r="C569" s="26"/>
    </row>
    <row r="570">
      <c r="C570" s="26"/>
    </row>
    <row r="571">
      <c r="C571" s="26"/>
    </row>
    <row r="572">
      <c r="C572" s="26"/>
    </row>
    <row r="573">
      <c r="C573" s="26"/>
    </row>
    <row r="574">
      <c r="C574" s="26"/>
    </row>
    <row r="575">
      <c r="C575" s="26"/>
    </row>
    <row r="576">
      <c r="C576" s="26"/>
    </row>
    <row r="577">
      <c r="C577" s="26"/>
    </row>
    <row r="578">
      <c r="C578" s="26"/>
    </row>
    <row r="579">
      <c r="C579" s="26"/>
    </row>
    <row r="580">
      <c r="C580" s="26"/>
    </row>
    <row r="581">
      <c r="C581" s="26"/>
    </row>
    <row r="582">
      <c r="C582" s="26"/>
    </row>
    <row r="583">
      <c r="C583" s="26"/>
    </row>
    <row r="584">
      <c r="C584" s="26"/>
    </row>
    <row r="585">
      <c r="C585" s="26"/>
    </row>
    <row r="586">
      <c r="C586" s="26"/>
    </row>
    <row r="587">
      <c r="C587" s="26"/>
    </row>
    <row r="588">
      <c r="C588" s="26"/>
    </row>
    <row r="589">
      <c r="C589" s="26"/>
    </row>
    <row r="590">
      <c r="C590" s="26"/>
    </row>
    <row r="591">
      <c r="C591" s="26"/>
    </row>
    <row r="592">
      <c r="C592" s="26"/>
    </row>
    <row r="593">
      <c r="C593" s="26"/>
    </row>
    <row r="594">
      <c r="C594" s="26"/>
    </row>
    <row r="595">
      <c r="C595" s="26"/>
    </row>
    <row r="596">
      <c r="C596" s="26"/>
    </row>
    <row r="597">
      <c r="C597" s="26"/>
    </row>
    <row r="598">
      <c r="C598" s="26"/>
    </row>
    <row r="599">
      <c r="C599" s="26"/>
    </row>
    <row r="600">
      <c r="C600" s="26"/>
    </row>
    <row r="601">
      <c r="C601" s="26"/>
    </row>
    <row r="602">
      <c r="C602" s="26"/>
    </row>
    <row r="603">
      <c r="C603" s="26"/>
    </row>
    <row r="604">
      <c r="C604" s="26"/>
    </row>
    <row r="605">
      <c r="C605" s="26"/>
    </row>
    <row r="606">
      <c r="C606" s="26"/>
    </row>
    <row r="607">
      <c r="C607" s="26"/>
    </row>
    <row r="608">
      <c r="C608" s="26"/>
    </row>
    <row r="609">
      <c r="C609" s="26"/>
    </row>
    <row r="610">
      <c r="C610" s="26"/>
    </row>
    <row r="611">
      <c r="C611" s="26"/>
    </row>
    <row r="612">
      <c r="C612" s="26"/>
    </row>
    <row r="613">
      <c r="C613" s="26"/>
    </row>
    <row r="614">
      <c r="C614" s="26"/>
    </row>
    <row r="615">
      <c r="C615" s="26"/>
    </row>
    <row r="616">
      <c r="C616" s="26"/>
    </row>
    <row r="617">
      <c r="C617" s="26"/>
    </row>
    <row r="618">
      <c r="C618" s="26"/>
    </row>
    <row r="619">
      <c r="C619" s="26"/>
    </row>
    <row r="620">
      <c r="C620" s="26"/>
    </row>
    <row r="621">
      <c r="C621" s="26"/>
    </row>
    <row r="622">
      <c r="C622" s="26"/>
    </row>
    <row r="623">
      <c r="C623" s="26"/>
    </row>
    <row r="624">
      <c r="C624" s="26"/>
    </row>
    <row r="625">
      <c r="C625" s="26"/>
    </row>
    <row r="626">
      <c r="C626" s="26"/>
    </row>
    <row r="627">
      <c r="C627" s="26"/>
    </row>
    <row r="628">
      <c r="C628" s="26"/>
    </row>
    <row r="629">
      <c r="C629" s="26"/>
    </row>
    <row r="630">
      <c r="C630" s="26"/>
    </row>
    <row r="631">
      <c r="C631" s="26"/>
    </row>
    <row r="632">
      <c r="C632" s="26"/>
    </row>
    <row r="633">
      <c r="C633" s="26"/>
    </row>
    <row r="634">
      <c r="C634" s="26"/>
    </row>
    <row r="635">
      <c r="C635" s="26"/>
    </row>
    <row r="636">
      <c r="C636" s="26"/>
    </row>
    <row r="637">
      <c r="C637" s="26"/>
    </row>
    <row r="638">
      <c r="C638" s="26"/>
    </row>
    <row r="639">
      <c r="C639" s="26"/>
    </row>
    <row r="640">
      <c r="C640" s="26"/>
    </row>
    <row r="641">
      <c r="C641" s="26"/>
    </row>
    <row r="642">
      <c r="C642" s="26"/>
    </row>
    <row r="643">
      <c r="C643" s="26"/>
    </row>
    <row r="644">
      <c r="C644" s="26"/>
    </row>
    <row r="645">
      <c r="C645" s="26"/>
    </row>
    <row r="646">
      <c r="C646" s="26"/>
    </row>
    <row r="647">
      <c r="C647" s="26"/>
    </row>
    <row r="648">
      <c r="C648" s="26"/>
    </row>
    <row r="649">
      <c r="C649" s="26"/>
    </row>
    <row r="650">
      <c r="C650" s="26"/>
    </row>
    <row r="651">
      <c r="C651" s="26"/>
    </row>
    <row r="652">
      <c r="C652" s="26"/>
    </row>
    <row r="653">
      <c r="C653" s="26"/>
    </row>
    <row r="654">
      <c r="C654" s="26"/>
    </row>
    <row r="655">
      <c r="C655" s="26"/>
    </row>
    <row r="656">
      <c r="C656" s="26"/>
    </row>
    <row r="657">
      <c r="C657" s="26"/>
    </row>
    <row r="658">
      <c r="C658" s="26"/>
    </row>
    <row r="659">
      <c r="C659" s="26"/>
    </row>
    <row r="660">
      <c r="C660" s="26"/>
    </row>
    <row r="661">
      <c r="C661" s="26"/>
    </row>
    <row r="662">
      <c r="C662" s="26"/>
    </row>
    <row r="663">
      <c r="C663" s="26"/>
    </row>
    <row r="664">
      <c r="C664" s="26"/>
    </row>
    <row r="665">
      <c r="C665" s="26"/>
    </row>
    <row r="666">
      <c r="C666" s="26"/>
    </row>
    <row r="667">
      <c r="C667" s="26"/>
    </row>
    <row r="668">
      <c r="C668" s="26"/>
    </row>
    <row r="669">
      <c r="C669" s="26"/>
    </row>
    <row r="670">
      <c r="C670" s="26"/>
    </row>
    <row r="671">
      <c r="C671" s="26"/>
    </row>
    <row r="672">
      <c r="C672" s="26"/>
    </row>
    <row r="673">
      <c r="C673" s="26"/>
    </row>
    <row r="674">
      <c r="C674" s="26"/>
    </row>
    <row r="675">
      <c r="C675" s="26"/>
    </row>
    <row r="676">
      <c r="C676" s="26"/>
    </row>
    <row r="677">
      <c r="C677" s="26"/>
    </row>
    <row r="678">
      <c r="C678" s="26"/>
    </row>
    <row r="679">
      <c r="C679" s="26"/>
    </row>
    <row r="680">
      <c r="C680" s="26"/>
    </row>
    <row r="681">
      <c r="C681" s="26"/>
    </row>
    <row r="682">
      <c r="C682" s="26"/>
    </row>
    <row r="683">
      <c r="C683" s="26"/>
    </row>
    <row r="684">
      <c r="C684" s="26"/>
    </row>
    <row r="685">
      <c r="C685" s="26"/>
    </row>
    <row r="686">
      <c r="C686" s="26"/>
    </row>
    <row r="687">
      <c r="C687" s="26"/>
    </row>
    <row r="688">
      <c r="C688" s="26"/>
    </row>
    <row r="689">
      <c r="C689" s="26"/>
    </row>
    <row r="690">
      <c r="C690" s="26"/>
    </row>
    <row r="691">
      <c r="C691" s="26"/>
    </row>
    <row r="692">
      <c r="C692" s="26"/>
    </row>
    <row r="693">
      <c r="C693" s="26"/>
    </row>
    <row r="694">
      <c r="C694" s="26"/>
    </row>
    <row r="695">
      <c r="C695" s="26"/>
    </row>
    <row r="696">
      <c r="C696" s="26"/>
    </row>
    <row r="697">
      <c r="C697" s="26"/>
    </row>
    <row r="698">
      <c r="C698" s="26"/>
    </row>
    <row r="699">
      <c r="C699" s="26"/>
    </row>
    <row r="700">
      <c r="C700" s="26"/>
    </row>
    <row r="701">
      <c r="C701" s="26"/>
    </row>
    <row r="702">
      <c r="C702" s="26"/>
    </row>
    <row r="703">
      <c r="C703" s="26"/>
    </row>
    <row r="704">
      <c r="C704" s="26"/>
    </row>
    <row r="705">
      <c r="C705" s="26"/>
    </row>
    <row r="706">
      <c r="C706" s="26"/>
    </row>
    <row r="707">
      <c r="C707" s="26"/>
    </row>
    <row r="708">
      <c r="C708" s="26"/>
    </row>
    <row r="709">
      <c r="C709" s="26"/>
    </row>
    <row r="710">
      <c r="C710" s="26"/>
    </row>
    <row r="711">
      <c r="C711" s="26"/>
    </row>
    <row r="712">
      <c r="C712" s="26"/>
    </row>
    <row r="713">
      <c r="C713" s="26"/>
    </row>
    <row r="714">
      <c r="C714" s="26"/>
    </row>
    <row r="715">
      <c r="C715" s="26"/>
    </row>
    <row r="716">
      <c r="C716" s="26"/>
    </row>
    <row r="717">
      <c r="C717" s="26"/>
    </row>
    <row r="718">
      <c r="C718" s="26"/>
    </row>
    <row r="719">
      <c r="C719" s="26"/>
    </row>
    <row r="720">
      <c r="C720" s="26"/>
    </row>
    <row r="721">
      <c r="C721" s="26"/>
    </row>
    <row r="722">
      <c r="C722" s="26"/>
    </row>
    <row r="723">
      <c r="C723" s="26"/>
    </row>
    <row r="724">
      <c r="C724" s="26"/>
    </row>
    <row r="725">
      <c r="C725" s="26"/>
    </row>
    <row r="726">
      <c r="C726" s="26"/>
    </row>
    <row r="727">
      <c r="C727" s="26"/>
    </row>
    <row r="728">
      <c r="C728" s="26"/>
    </row>
    <row r="729">
      <c r="C729" s="26"/>
    </row>
    <row r="730">
      <c r="C730" s="26"/>
    </row>
    <row r="731">
      <c r="C731" s="26"/>
    </row>
    <row r="732">
      <c r="C732" s="26"/>
    </row>
    <row r="733">
      <c r="C733" s="26"/>
    </row>
    <row r="734">
      <c r="C734" s="26"/>
    </row>
    <row r="735">
      <c r="C735" s="26"/>
    </row>
    <row r="736">
      <c r="C736" s="26"/>
    </row>
    <row r="737">
      <c r="C737" s="26"/>
    </row>
    <row r="738">
      <c r="C738" s="26"/>
    </row>
    <row r="739">
      <c r="C739" s="26"/>
    </row>
    <row r="740">
      <c r="C740" s="26"/>
    </row>
    <row r="741">
      <c r="C741" s="26"/>
    </row>
    <row r="742">
      <c r="C742" s="26"/>
    </row>
    <row r="743">
      <c r="C743" s="26"/>
    </row>
    <row r="744">
      <c r="C744" s="26"/>
    </row>
    <row r="745">
      <c r="C745" s="26"/>
    </row>
    <row r="746">
      <c r="C746" s="26"/>
    </row>
    <row r="747">
      <c r="C747" s="26"/>
    </row>
    <row r="748">
      <c r="C748" s="26"/>
    </row>
    <row r="749">
      <c r="C749" s="26"/>
    </row>
    <row r="750">
      <c r="C750" s="26"/>
    </row>
    <row r="751">
      <c r="C751" s="26"/>
    </row>
    <row r="752">
      <c r="C752" s="26"/>
    </row>
    <row r="753">
      <c r="C753" s="26"/>
    </row>
    <row r="754">
      <c r="C754" s="26"/>
    </row>
    <row r="755">
      <c r="C755" s="26"/>
    </row>
    <row r="756">
      <c r="C756" s="26"/>
    </row>
    <row r="757">
      <c r="C757" s="26"/>
    </row>
    <row r="758">
      <c r="C758" s="26"/>
    </row>
    <row r="759">
      <c r="C759" s="26"/>
    </row>
    <row r="760">
      <c r="C760" s="26"/>
    </row>
    <row r="761">
      <c r="C761" s="26"/>
    </row>
    <row r="762">
      <c r="C762" s="26"/>
    </row>
    <row r="763">
      <c r="C763" s="26"/>
    </row>
    <row r="764">
      <c r="C764" s="26"/>
    </row>
    <row r="765">
      <c r="C765" s="26"/>
    </row>
    <row r="766">
      <c r="C766" s="26"/>
    </row>
    <row r="767">
      <c r="C767" s="26"/>
    </row>
    <row r="768">
      <c r="C768" s="26"/>
    </row>
    <row r="769">
      <c r="C769" s="26"/>
    </row>
    <row r="770">
      <c r="C770" s="26"/>
    </row>
    <row r="771">
      <c r="C771" s="26"/>
    </row>
    <row r="772">
      <c r="C772" s="26"/>
    </row>
    <row r="773">
      <c r="C773" s="26"/>
    </row>
    <row r="774">
      <c r="C774" s="26"/>
    </row>
    <row r="775">
      <c r="C775" s="26"/>
    </row>
    <row r="776">
      <c r="C776" s="26"/>
    </row>
    <row r="777">
      <c r="C777" s="26"/>
    </row>
    <row r="778">
      <c r="C778" s="26"/>
    </row>
    <row r="779">
      <c r="C779" s="26"/>
    </row>
    <row r="780">
      <c r="C780" s="26"/>
    </row>
    <row r="781">
      <c r="C781" s="26"/>
    </row>
    <row r="782">
      <c r="C782" s="26"/>
    </row>
    <row r="783">
      <c r="C783" s="26"/>
    </row>
    <row r="784">
      <c r="C784" s="26"/>
    </row>
    <row r="785">
      <c r="C785" s="26"/>
    </row>
    <row r="786">
      <c r="C786" s="26"/>
    </row>
    <row r="787">
      <c r="C787" s="26"/>
    </row>
    <row r="788">
      <c r="C788" s="26"/>
    </row>
    <row r="789">
      <c r="C789" s="26"/>
    </row>
    <row r="790">
      <c r="C790" s="26"/>
    </row>
    <row r="791">
      <c r="C791" s="26"/>
    </row>
    <row r="792">
      <c r="C792" s="26"/>
    </row>
    <row r="793">
      <c r="C793" s="26"/>
    </row>
    <row r="794">
      <c r="C794" s="26"/>
    </row>
    <row r="795">
      <c r="C795" s="26"/>
    </row>
    <row r="796">
      <c r="C796" s="26"/>
    </row>
    <row r="797">
      <c r="C797" s="26"/>
    </row>
    <row r="798">
      <c r="C798" s="26"/>
    </row>
    <row r="799">
      <c r="C799" s="26"/>
    </row>
    <row r="800">
      <c r="C800" s="26"/>
    </row>
    <row r="801">
      <c r="C801" s="26"/>
    </row>
    <row r="802">
      <c r="C802" s="26"/>
    </row>
    <row r="803">
      <c r="C803" s="26"/>
    </row>
    <row r="804">
      <c r="C804" s="26"/>
    </row>
    <row r="805">
      <c r="C805" s="26"/>
    </row>
    <row r="806">
      <c r="C806" s="26"/>
    </row>
    <row r="807">
      <c r="C807" s="26"/>
    </row>
    <row r="808">
      <c r="C808" s="26"/>
    </row>
    <row r="809">
      <c r="C809" s="26"/>
    </row>
    <row r="810">
      <c r="C810" s="26"/>
    </row>
    <row r="811">
      <c r="C811" s="26"/>
    </row>
    <row r="812">
      <c r="C812" s="26"/>
    </row>
    <row r="813">
      <c r="C813" s="26"/>
    </row>
    <row r="814">
      <c r="C814" s="26"/>
    </row>
    <row r="815">
      <c r="C815" s="26"/>
    </row>
    <row r="816">
      <c r="C816" s="26"/>
    </row>
    <row r="817">
      <c r="C817" s="26"/>
    </row>
    <row r="818">
      <c r="C818" s="26"/>
    </row>
    <row r="819">
      <c r="C819" s="26"/>
    </row>
    <row r="820">
      <c r="C820" s="26"/>
    </row>
    <row r="821">
      <c r="C821" s="26"/>
    </row>
    <row r="822">
      <c r="C822" s="26"/>
    </row>
    <row r="823">
      <c r="C823" s="26"/>
    </row>
    <row r="824">
      <c r="C824" s="26"/>
    </row>
    <row r="825">
      <c r="C825" s="26"/>
    </row>
    <row r="826">
      <c r="C826" s="26"/>
    </row>
    <row r="827">
      <c r="C827" s="26"/>
    </row>
    <row r="828">
      <c r="C828" s="26"/>
    </row>
    <row r="829">
      <c r="C829" s="26"/>
    </row>
    <row r="830">
      <c r="C830" s="26"/>
    </row>
    <row r="831">
      <c r="C831" s="26"/>
    </row>
    <row r="832">
      <c r="C832" s="26"/>
    </row>
    <row r="833">
      <c r="C833" s="26"/>
    </row>
    <row r="834">
      <c r="C834" s="26"/>
    </row>
    <row r="835">
      <c r="C835" s="26"/>
    </row>
    <row r="836">
      <c r="C836" s="26"/>
    </row>
    <row r="837">
      <c r="C837" s="26"/>
    </row>
    <row r="838">
      <c r="C838" s="26"/>
    </row>
    <row r="839">
      <c r="C839" s="26"/>
    </row>
    <row r="840">
      <c r="C840" s="26"/>
    </row>
    <row r="841">
      <c r="C841" s="26"/>
    </row>
    <row r="842">
      <c r="C842" s="26"/>
    </row>
    <row r="843">
      <c r="C843" s="26"/>
    </row>
    <row r="844">
      <c r="C844" s="26"/>
    </row>
    <row r="845">
      <c r="C845" s="26"/>
    </row>
    <row r="846">
      <c r="C846" s="26"/>
    </row>
    <row r="847">
      <c r="C847" s="26"/>
    </row>
    <row r="848">
      <c r="C848" s="26"/>
    </row>
    <row r="849">
      <c r="C849" s="26"/>
    </row>
    <row r="850">
      <c r="C850" s="26"/>
    </row>
    <row r="851">
      <c r="C851" s="26"/>
    </row>
    <row r="852">
      <c r="C852" s="26"/>
    </row>
    <row r="853">
      <c r="C853" s="26"/>
    </row>
    <row r="854">
      <c r="C854" s="26"/>
    </row>
    <row r="855">
      <c r="C855" s="26"/>
    </row>
    <row r="856">
      <c r="C856" s="26"/>
    </row>
    <row r="857">
      <c r="C857" s="26"/>
    </row>
    <row r="858">
      <c r="C858" s="26"/>
    </row>
    <row r="859">
      <c r="C859" s="26"/>
    </row>
    <row r="860">
      <c r="C860" s="26"/>
    </row>
    <row r="861">
      <c r="C861" s="26"/>
    </row>
    <row r="862">
      <c r="C862" s="26"/>
    </row>
    <row r="863">
      <c r="C863" s="26"/>
    </row>
    <row r="864">
      <c r="C864" s="26"/>
    </row>
    <row r="865">
      <c r="C865" s="26"/>
    </row>
    <row r="866">
      <c r="C866" s="26"/>
    </row>
    <row r="867">
      <c r="C867" s="26"/>
    </row>
    <row r="868">
      <c r="C868" s="26"/>
    </row>
    <row r="869">
      <c r="C869" s="26"/>
    </row>
    <row r="870">
      <c r="C870" s="26"/>
    </row>
    <row r="871">
      <c r="C871" s="26"/>
    </row>
    <row r="872">
      <c r="C872" s="26"/>
    </row>
    <row r="873">
      <c r="C873" s="26"/>
    </row>
    <row r="874">
      <c r="C874" s="26"/>
    </row>
    <row r="875">
      <c r="C875" s="26"/>
    </row>
    <row r="876">
      <c r="C876" s="26"/>
    </row>
    <row r="877">
      <c r="C877" s="26"/>
    </row>
    <row r="878">
      <c r="C878" s="26"/>
    </row>
    <row r="879">
      <c r="C879" s="26"/>
    </row>
    <row r="880">
      <c r="C880" s="26"/>
    </row>
    <row r="881">
      <c r="C881" s="26"/>
    </row>
    <row r="882">
      <c r="C882" s="26"/>
    </row>
    <row r="883">
      <c r="C883" s="26"/>
    </row>
    <row r="884">
      <c r="C884" s="26"/>
    </row>
    <row r="885">
      <c r="C885" s="26"/>
    </row>
    <row r="886">
      <c r="C886" s="26"/>
    </row>
    <row r="887">
      <c r="C887" s="26"/>
    </row>
    <row r="888">
      <c r="C888" s="26"/>
    </row>
    <row r="889">
      <c r="C889" s="26"/>
    </row>
    <row r="890">
      <c r="C890" s="26"/>
    </row>
    <row r="891">
      <c r="C891" s="26"/>
    </row>
    <row r="892">
      <c r="C892" s="26"/>
    </row>
    <row r="893">
      <c r="C893" s="26"/>
    </row>
    <row r="894">
      <c r="C894" s="26"/>
    </row>
    <row r="895">
      <c r="C895" s="26"/>
    </row>
    <row r="896">
      <c r="C896" s="26"/>
    </row>
    <row r="897">
      <c r="C897" s="26"/>
    </row>
    <row r="898">
      <c r="C898" s="26"/>
    </row>
    <row r="899">
      <c r="C899" s="26"/>
    </row>
    <row r="900">
      <c r="C900" s="26"/>
    </row>
    <row r="901">
      <c r="C901" s="26"/>
    </row>
    <row r="902">
      <c r="C902" s="26"/>
    </row>
    <row r="903">
      <c r="C903" s="26"/>
    </row>
    <row r="904">
      <c r="C904" s="26"/>
    </row>
    <row r="905">
      <c r="C905" s="26"/>
    </row>
    <row r="906">
      <c r="C906" s="26"/>
    </row>
    <row r="907">
      <c r="C907" s="26"/>
    </row>
    <row r="908">
      <c r="C908" s="26"/>
    </row>
    <row r="909">
      <c r="C909" s="26"/>
    </row>
    <row r="910">
      <c r="C910" s="26"/>
    </row>
    <row r="911">
      <c r="C911" s="26"/>
    </row>
    <row r="912">
      <c r="C912" s="26"/>
    </row>
    <row r="913">
      <c r="C913" s="26"/>
    </row>
    <row r="914">
      <c r="C914" s="26"/>
    </row>
    <row r="915">
      <c r="C915" s="26"/>
    </row>
    <row r="916">
      <c r="C916" s="26"/>
    </row>
    <row r="917">
      <c r="C917" s="26"/>
    </row>
    <row r="918">
      <c r="C918" s="26"/>
    </row>
    <row r="919">
      <c r="C919" s="26"/>
    </row>
    <row r="920">
      <c r="C920" s="26"/>
    </row>
    <row r="921">
      <c r="C921" s="26"/>
    </row>
    <row r="922">
      <c r="C922" s="26"/>
    </row>
    <row r="923">
      <c r="C923" s="26"/>
    </row>
    <row r="924">
      <c r="C924" s="26"/>
    </row>
    <row r="925">
      <c r="C925" s="26"/>
    </row>
    <row r="926">
      <c r="C926" s="26"/>
    </row>
    <row r="927">
      <c r="C927" s="26"/>
    </row>
    <row r="928">
      <c r="C928" s="26"/>
    </row>
    <row r="929">
      <c r="C929" s="26"/>
    </row>
    <row r="930">
      <c r="C930" s="26"/>
    </row>
    <row r="931">
      <c r="C931" s="26"/>
    </row>
    <row r="932">
      <c r="C932" s="26"/>
    </row>
    <row r="933">
      <c r="C933" s="26"/>
    </row>
    <row r="934">
      <c r="C934" s="26"/>
    </row>
    <row r="935">
      <c r="C935" s="26"/>
    </row>
    <row r="936">
      <c r="C936" s="26"/>
    </row>
    <row r="937">
      <c r="C937" s="26"/>
    </row>
    <row r="938">
      <c r="C938" s="26"/>
    </row>
    <row r="939">
      <c r="C939" s="26"/>
    </row>
    <row r="940">
      <c r="C940" s="26"/>
    </row>
    <row r="941">
      <c r="C941" s="26"/>
    </row>
    <row r="942">
      <c r="C942" s="26"/>
    </row>
    <row r="943">
      <c r="C943" s="26"/>
    </row>
    <row r="944">
      <c r="C944" s="26"/>
    </row>
    <row r="945">
      <c r="C945" s="26"/>
    </row>
    <row r="946">
      <c r="C946" s="26"/>
    </row>
    <row r="947">
      <c r="C947" s="26"/>
    </row>
    <row r="948">
      <c r="C948" s="26"/>
    </row>
    <row r="949">
      <c r="C949" s="26"/>
    </row>
    <row r="950">
      <c r="C950" s="26"/>
    </row>
    <row r="951">
      <c r="C951" s="26"/>
    </row>
    <row r="952">
      <c r="C952" s="26"/>
    </row>
    <row r="953">
      <c r="C953" s="26"/>
    </row>
    <row r="954">
      <c r="C954" s="26"/>
    </row>
    <row r="955">
      <c r="C955" s="26"/>
    </row>
    <row r="956">
      <c r="C956" s="26"/>
    </row>
    <row r="957">
      <c r="C957" s="26"/>
    </row>
    <row r="958">
      <c r="C958" s="26"/>
    </row>
    <row r="959">
      <c r="C959" s="26"/>
    </row>
    <row r="960">
      <c r="C960" s="26"/>
    </row>
    <row r="961">
      <c r="C961" s="26"/>
    </row>
    <row r="962">
      <c r="C962" s="26"/>
    </row>
    <row r="963">
      <c r="C963" s="26"/>
    </row>
    <row r="964">
      <c r="C964" s="26"/>
    </row>
    <row r="965">
      <c r="C965" s="26"/>
    </row>
    <row r="966">
      <c r="C966" s="26"/>
    </row>
    <row r="967">
      <c r="C967" s="26"/>
    </row>
    <row r="968">
      <c r="C968" s="26"/>
    </row>
    <row r="969">
      <c r="C969" s="26"/>
    </row>
    <row r="970">
      <c r="C970" s="26"/>
    </row>
    <row r="971">
      <c r="C971" s="26"/>
    </row>
    <row r="972">
      <c r="C972" s="26"/>
    </row>
    <row r="973">
      <c r="C973" s="26"/>
    </row>
    <row r="974">
      <c r="C974" s="26"/>
    </row>
    <row r="975">
      <c r="C975" s="26"/>
    </row>
    <row r="976">
      <c r="C976" s="26"/>
    </row>
    <row r="977">
      <c r="C977" s="26"/>
    </row>
    <row r="978">
      <c r="C978" s="26"/>
    </row>
    <row r="979">
      <c r="C979" s="26"/>
    </row>
    <row r="980">
      <c r="C980" s="26"/>
    </row>
    <row r="981">
      <c r="C981" s="26"/>
    </row>
    <row r="982">
      <c r="C982" s="26"/>
    </row>
    <row r="983">
      <c r="C983" s="26"/>
    </row>
    <row r="984">
      <c r="C984" s="26"/>
    </row>
    <row r="985">
      <c r="C985" s="26"/>
    </row>
    <row r="986">
      <c r="C986" s="26"/>
    </row>
    <row r="987">
      <c r="C987" s="26"/>
    </row>
    <row r="988">
      <c r="C988" s="26"/>
    </row>
    <row r="989">
      <c r="C989" s="26"/>
    </row>
    <row r="990">
      <c r="C990" s="26"/>
    </row>
    <row r="991">
      <c r="C991" s="26"/>
    </row>
    <row r="992">
      <c r="C992" s="26"/>
    </row>
    <row r="993">
      <c r="C993" s="26"/>
    </row>
    <row r="994">
      <c r="C994" s="26"/>
    </row>
    <row r="995">
      <c r="C995" s="26"/>
    </row>
    <row r="996">
      <c r="C996" s="26"/>
    </row>
    <row r="997">
      <c r="C997" s="26"/>
    </row>
    <row r="998">
      <c r="C998" s="26"/>
    </row>
    <row r="999">
      <c r="C999" s="26"/>
    </row>
    <row r="1000">
      <c r="C1000" s="26"/>
    </row>
    <row r="1001">
      <c r="C1001" s="2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9.0"/>
    <col customWidth="1" min="2" max="2" width="49.63"/>
    <col customWidth="1" min="4" max="4" width="12.25"/>
    <col customWidth="1" min="5" max="5" width="11.88"/>
    <col customWidth="1" min="6" max="6" width="12.13"/>
    <col customWidth="1" min="7" max="7" width="13.0"/>
    <col customWidth="1" min="9" max="9" width="97.25"/>
    <col customWidth="1" min="10" max="10" width="8.75"/>
    <col customWidth="1" min="11" max="11" width="8.13"/>
    <col customWidth="1" min="12" max="14" width="8.38"/>
    <col customWidth="1" min="15" max="15" width="8.13"/>
    <col customWidth="1" min="16" max="16" width="8.38"/>
    <col customWidth="1" min="17" max="17" width="7.75"/>
    <col customWidth="1" min="18" max="18" width="8.75"/>
    <col customWidth="1" min="19" max="19" width="10.5"/>
    <col customWidth="1" min="20" max="20" width="17.88"/>
  </cols>
  <sheetData>
    <row r="1">
      <c r="A1" s="27" t="s">
        <v>189</v>
      </c>
      <c r="B1" s="27" t="s">
        <v>244</v>
      </c>
      <c r="C1" s="27" t="s">
        <v>245</v>
      </c>
      <c r="D1" s="27" t="s">
        <v>246</v>
      </c>
      <c r="E1" s="27" t="s">
        <v>247</v>
      </c>
      <c r="F1" s="27" t="s">
        <v>248</v>
      </c>
      <c r="G1" s="27" t="s">
        <v>249</v>
      </c>
      <c r="H1" s="27" t="s">
        <v>250</v>
      </c>
      <c r="I1" s="27" t="s">
        <v>251</v>
      </c>
      <c r="J1" s="27" t="s">
        <v>252</v>
      </c>
      <c r="K1" s="27" t="s">
        <v>253</v>
      </c>
      <c r="L1" s="27" t="s">
        <v>254</v>
      </c>
      <c r="M1" s="27" t="s">
        <v>255</v>
      </c>
      <c r="N1" s="27" t="s">
        <v>256</v>
      </c>
      <c r="O1" s="27" t="s">
        <v>257</v>
      </c>
      <c r="P1" s="27" t="s">
        <v>258</v>
      </c>
      <c r="Q1" s="27" t="s">
        <v>259</v>
      </c>
      <c r="R1" s="27" t="s">
        <v>260</v>
      </c>
      <c r="S1" s="27" t="s">
        <v>261</v>
      </c>
      <c r="T1" s="27" t="s">
        <v>262</v>
      </c>
      <c r="U1" s="4" t="s">
        <v>263</v>
      </c>
      <c r="V1" s="4" t="s">
        <v>264</v>
      </c>
      <c r="W1" s="4" t="s">
        <v>265</v>
      </c>
      <c r="X1" s="4" t="s">
        <v>266</v>
      </c>
    </row>
    <row r="2" ht="15.75" customHeight="1">
      <c r="A2" s="28" t="s">
        <v>203</v>
      </c>
      <c r="B2" s="29" t="str">
        <f>IFERROR(VLOOKUP(A2,Projects!$A$2:$C$7,2,FALSE),"")
</f>
        <v>.NET Corporate Portal Maintainance</v>
      </c>
      <c r="C2" s="4" t="s">
        <v>267</v>
      </c>
      <c r="D2" s="30" t="s">
        <v>66</v>
      </c>
      <c r="E2" s="30" t="s">
        <v>19</v>
      </c>
      <c r="F2" s="30" t="s">
        <v>37</v>
      </c>
      <c r="G2" s="30" t="s">
        <v>106</v>
      </c>
      <c r="H2" s="30">
        <v>3.0</v>
      </c>
      <c r="I2" s="4" t="s">
        <v>268</v>
      </c>
      <c r="J2" s="4" t="str">
        <f>IFERROR(__xludf.DUMMYFUNCTION("IFERROR(REGEXEXTRACT($I2,""DOM\s*M\((\d+/\d+)\)""),"""")
"),"1/2")</f>
        <v>1/2</v>
      </c>
      <c r="K2" s="4" t="str">
        <f>IFERROR(__xludf.DUMMYFUNCTION("IFERROR(REGEXEXTRACT($I2,""DOM.*?S\((\d+/\d+)\)""),"""")
"),"0/1")</f>
        <v>0/1</v>
      </c>
      <c r="L2" s="4" t="str">
        <f>IFERROR(__xludf.DUMMYFUNCTION("IFERROR(REGEXEXTRACT($I2,""DOM.*?C\((\d+/\d+)\)""),"""")
"),"1/1")</f>
        <v>1/1</v>
      </c>
      <c r="M2" s="4" t="str">
        <f>IFERROR(__xludf.DUMMYFUNCTION("IFERROR(REGEXEXTRACT($I2,""ECO\s*M\((\d+/\d+)\)""),"""")
"),"0/1")</f>
        <v>0/1</v>
      </c>
      <c r="N2" s="4" t="str">
        <f>IFERROR(__xludf.DUMMYFUNCTION("IFERROR(REGEXEXTRACT($I2,""ECO.*?S\((\d+/\d+)\)""),"""")
"),"1/1")</f>
        <v>1/1</v>
      </c>
      <c r="O2" s="4" t="str">
        <f>IFERROR(__xludf.DUMMYFUNCTION("IFERROR(REGEXEXTRACT($I2,""ECO.*?C\((\d+/\d+)\)""),"""")
"),"0/1")</f>
        <v>0/1</v>
      </c>
      <c r="P2" s="4" t="str">
        <f>IFERROR(__xludf.DUMMYFUNCTION("IFERROR(REGEXEXTRACT($I2,""LING\s*M\((\d+/\d+)\)""),"""")
"),"0/1")</f>
        <v>0/1</v>
      </c>
      <c r="Q2" s="4" t="str">
        <f>IFERROR(__xludf.DUMMYFUNCTION("IFERROR(REGEXEXTRACT($I2,""LING.*?S\((\d+/\d+)\)""),"""")
"),"1/2")</f>
        <v>1/2</v>
      </c>
      <c r="R2" s="4" t="str">
        <f>IFERROR(__xludf.DUMMYFUNCTION("IFERROR(REGEXEXTRACT($I2,""LING[^|]*C\(([0-9]+/[0-9]+)\)""),"""")
"),"0/1")</f>
        <v>0/1</v>
      </c>
      <c r="S2" s="4" t="b">
        <f>IFERROR(__xludf.DUMMYFUNCTION("AND(
  VALUE(INDEX(SPLIT(J2,""/""),1))=VALUE(INDEX(SPLIT(J2,""/""),2)),
  VALUE(INDEX(SPLIT(M2,""/""),1))=VALUE(INDEX(SPLIT(M2,""/""),2)),
  VALUE(INDEX(SPLIT(P2,""/""),1))=VALUE(INDEX(SPLIT(P2,""/""),2))
)
"),FALSE)</f>
        <v>0</v>
      </c>
      <c r="T2" s="4">
        <f>IFERROR(__xludf.DUMMYFUNCTION(" (VALUE(INDEX(SPLIT(J2,""/""),2))-VALUE(INDEX(SPLIT(J2,""/""),1)))
+ (VALUE(INDEX(SPLIT(M2,""/""),2))-VALUE(INDEX(SPLIT(M2,""/""),1)))
+ (VALUE(INDEX(SPLIT(P2,""/""),2))-VALUE(INDEX(SPLIT(P2,""/""),1)))
"),3.0)</f>
        <v>3</v>
      </c>
      <c r="U2" s="4" t="s">
        <v>269</v>
      </c>
      <c r="V2" s="4" t="s">
        <v>270</v>
      </c>
      <c r="W2" s="4" t="s">
        <v>271</v>
      </c>
      <c r="X2" s="4" t="s">
        <v>272</v>
      </c>
    </row>
    <row r="3" ht="17.25" customHeight="1">
      <c r="A3" s="31"/>
      <c r="B3" s="32" t="str">
        <f>IFERROR(
"DOM  M["&amp;VLOOKUP($A2,Projects!$A:$L,4,FALSE)&amp;"] S["&amp;VLOOKUP($A2,Projects!$A:$L,5,FALSE)&amp;"] C["&amp;VLOOKUP($A2,Projects!$A:$L,6,FALSE)&amp;"]"&amp;CHAR(10)&amp;
"ECO  M["&amp;VLOOKUP($A2,Projects!$A:$L,7,FALSE)&amp;"] S["&amp;VLOOKUP($A2,Projects!$A:$L,8,FALSE)&amp;"] C["&amp;VLOOKUP($A2,Projects!$A:$L,9,FALSE)&amp;"]"&amp;CHAR(10)&amp;
"LING M["&amp;VLOOKUP($A2,Projects!$A:$L,10,FALSE)&amp;"] S["&amp;VLOOKUP($A2,Projects!$A:$L,11,FALSE)&amp;"] C["&amp;VLOOKUP($A2,Projects!$A:$L,12,FALSE)&amp;"]"
,"")
</f>
        <v>DOM  M[Desktop, Web] S[Cloud] C[Mobile]
ECO  M[.NET] S[React] C[MongoDB]
LING M[C#] S[JavaScript, TypeScript] C[Python]</v>
      </c>
      <c r="C3" s="4" t="s">
        <v>273</v>
      </c>
      <c r="D3" s="4" t="s">
        <v>34</v>
      </c>
      <c r="E3" s="4" t="s">
        <v>142</v>
      </c>
      <c r="F3" s="4" t="s">
        <v>139</v>
      </c>
      <c r="G3" s="4" t="s">
        <v>122</v>
      </c>
      <c r="H3" s="4">
        <v>4.0</v>
      </c>
      <c r="I3" s="4" t="s">
        <v>274</v>
      </c>
      <c r="J3" s="4" t="str">
        <f>IFERROR(__xludf.DUMMYFUNCTION("IFERROR(REGEXEXTRACT($I3,""DOM\s*M\((\d+/\d+)\)""),"""")
"),"1/2")</f>
        <v>1/2</v>
      </c>
      <c r="K3" s="4" t="str">
        <f>IFERROR(__xludf.DUMMYFUNCTION("IFERROR(REGEXEXTRACT($I3,""DOM.*?S\((\d+/\d+)\)""),"""")
"),"0/1")</f>
        <v>0/1</v>
      </c>
      <c r="L3" s="4" t="str">
        <f>IFERROR(__xludf.DUMMYFUNCTION("IFERROR(REGEXEXTRACT($I3,""DOM.*?C\((\d+/\d+)\)""),"""")
"),"0/1")</f>
        <v>0/1</v>
      </c>
      <c r="M3" s="4" t="str">
        <f>IFERROR(__xludf.DUMMYFUNCTION("IFERROR(REGEXEXTRACT($I3,""ECO\s*M\((\d+/\d+)\)""),"""")
"),"0/1")</f>
        <v>0/1</v>
      </c>
      <c r="N3" s="4" t="str">
        <f>IFERROR(__xludf.DUMMYFUNCTION("IFERROR(REGEXEXTRACT($I3,""ECO.*?S\((\d+/\d+)\)""),"""")
"),"1/1")</f>
        <v>1/1</v>
      </c>
      <c r="O3" s="4" t="str">
        <f>IFERROR(__xludf.DUMMYFUNCTION("IFERROR(REGEXEXTRACT($I3,""ECO.*?C\((\d+/\d+)\)""),"""")
"),"0/1")</f>
        <v>0/1</v>
      </c>
      <c r="P3" s="4" t="str">
        <f>IFERROR(__xludf.DUMMYFUNCTION("IFERROR(REGEXEXTRACT($I3,""LING\s*M\((\d+/\d+)\)""),"""")
"),"0/1")</f>
        <v>0/1</v>
      </c>
      <c r="Q3" s="4" t="str">
        <f>IFERROR(__xludf.DUMMYFUNCTION("IFERROR(REGEXEXTRACT($I3,""LING.*?S\((\d+/\d+)\)""),"""")
"),"2/2")</f>
        <v>2/2</v>
      </c>
      <c r="R3" s="4" t="str">
        <f>IFERROR(__xludf.DUMMYFUNCTION("IFERROR(REGEXEXTRACT($I3,""LING[^|]*C\(([0-9]+/[0-9]+)\)""),"""")
"),"1/1")</f>
        <v>1/1</v>
      </c>
      <c r="S3" s="4" t="b">
        <f>IFERROR(__xludf.DUMMYFUNCTION("AND(
  VALUE(INDEX(SPLIT(J3,""/""),1))=VALUE(INDEX(SPLIT(J3,""/""),2)),
  VALUE(INDEX(SPLIT(M3,""/""),1))=VALUE(INDEX(SPLIT(M3,""/""),2)),
  VALUE(INDEX(SPLIT(P3,""/""),1))=VALUE(INDEX(SPLIT(P3,""/""),2))
)
"),FALSE)</f>
        <v>0</v>
      </c>
      <c r="T3" s="4">
        <f>IFERROR(__xludf.DUMMYFUNCTION(" (VALUE(INDEX(SPLIT(J3,""/""),2))-VALUE(INDEX(SPLIT(J3,""/""),1)))
+ (VALUE(INDEX(SPLIT(M3,""/""),2))-VALUE(INDEX(SPLIT(M3,""/""),1)))
+ (VALUE(INDEX(SPLIT(P3,""/""),2))-VALUE(INDEX(SPLIT(P3,""/""),1)))
"),3.0)</f>
        <v>3</v>
      </c>
      <c r="U3" s="4"/>
      <c r="V3" s="4"/>
      <c r="W3" s="4"/>
      <c r="X3" s="4"/>
      <c r="Y3" s="4"/>
    </row>
    <row r="4" ht="15.75" customHeight="1">
      <c r="A4" s="31"/>
      <c r="C4" s="4" t="s">
        <v>275</v>
      </c>
      <c r="D4" s="4" t="s">
        <v>78</v>
      </c>
      <c r="E4" s="4" t="s">
        <v>145</v>
      </c>
      <c r="F4" s="4" t="s">
        <v>106</v>
      </c>
      <c r="G4" s="4" t="s">
        <v>125</v>
      </c>
      <c r="H4" s="4">
        <v>4.0</v>
      </c>
      <c r="I4" s="4" t="s">
        <v>276</v>
      </c>
      <c r="J4" s="4" t="str">
        <f>IFERROR(__xludf.DUMMYFUNCTION("IFERROR(REGEXEXTRACT($I4,""DOM\s*M\((\d+/\d+)\)""),"""")
"),"1/2")</f>
        <v>1/2</v>
      </c>
      <c r="K4" s="4" t="str">
        <f>IFERROR(__xludf.DUMMYFUNCTION("IFERROR(REGEXEXTRACT($I4,""DOM.*?S\((\d+/\d+)\)""),"""")
"),"0/1")</f>
        <v>0/1</v>
      </c>
      <c r="L4" s="4" t="str">
        <f>IFERROR(__xludf.DUMMYFUNCTION("IFERROR(REGEXEXTRACT($I4,""DOM.*?C\((\d+/\d+)\)""),"""")
"),"1/1")</f>
        <v>1/1</v>
      </c>
      <c r="M4" s="4" t="str">
        <f>IFERROR(__xludf.DUMMYFUNCTION("IFERROR(REGEXEXTRACT($I4,""ECO\s*M\((\d+/\d+)\)""),"""")
"),"0/1")</f>
        <v>0/1</v>
      </c>
      <c r="N4" s="4" t="str">
        <f>IFERROR(__xludf.DUMMYFUNCTION("IFERROR(REGEXEXTRACT($I4,""ECO.*?S\((\d+/\d+)\)""),"""")
"),"1/1")</f>
        <v>1/1</v>
      </c>
      <c r="O4" s="4" t="str">
        <f>IFERROR(__xludf.DUMMYFUNCTION("IFERROR(REGEXEXTRACT($I4,""ECO.*?C\((\d+/\d+)\)""),"""")
"),"0/1")</f>
        <v>0/1</v>
      </c>
      <c r="P4" s="4" t="str">
        <f>IFERROR(__xludf.DUMMYFUNCTION("IFERROR(REGEXEXTRACT($I4,""LING\s*M\((\d+/\d+)\)""),"""")
"),"0/1")</f>
        <v>0/1</v>
      </c>
      <c r="Q4" s="4" t="str">
        <f>IFERROR(__xludf.DUMMYFUNCTION("IFERROR(REGEXEXTRACT($I4,""LING.*?S\((\d+/\d+)\)""),"""")
"),"1/2")</f>
        <v>1/2</v>
      </c>
      <c r="R4" s="4" t="str">
        <f>IFERROR(__xludf.DUMMYFUNCTION("IFERROR(REGEXEXTRACT($I4,""LING[^|]*C\(([0-9]+/[0-9]+)\)""),"""")
"),"0/1")</f>
        <v>0/1</v>
      </c>
      <c r="S4" s="4" t="b">
        <f>IFERROR(__xludf.DUMMYFUNCTION("AND(
  VALUE(INDEX(SPLIT(J4,""/""),1))=VALUE(INDEX(SPLIT(J4,""/""),2)),
  VALUE(INDEX(SPLIT(M4,""/""),1))=VALUE(INDEX(SPLIT(M4,""/""),2)),
  VALUE(INDEX(SPLIT(P4,""/""),1))=VALUE(INDEX(SPLIT(P4,""/""),2))
)
"),FALSE)</f>
        <v>0</v>
      </c>
      <c r="T4" s="4">
        <f>IFERROR(__xludf.DUMMYFUNCTION(" (VALUE(INDEX(SPLIT(J4,""/""),2))-VALUE(INDEX(SPLIT(J4,""/""),1)))
+ (VALUE(INDEX(SPLIT(M4,""/""),2))-VALUE(INDEX(SPLIT(M4,""/""),1)))
+ (VALUE(INDEX(SPLIT(P4,""/""),2))-VALUE(INDEX(SPLIT(P4,""/""),1)))
"),3.0)</f>
        <v>3</v>
      </c>
      <c r="U4" s="4" t="s">
        <v>277</v>
      </c>
      <c r="V4" s="4" t="s">
        <v>278</v>
      </c>
      <c r="W4" s="4" t="s">
        <v>279</v>
      </c>
      <c r="X4" s="4" t="s">
        <v>280</v>
      </c>
    </row>
    <row r="5" ht="15.75" customHeight="1">
      <c r="A5" s="31"/>
      <c r="C5" s="4" t="s">
        <v>281</v>
      </c>
      <c r="D5" s="4" t="s">
        <v>24</v>
      </c>
      <c r="E5" s="4" t="s">
        <v>98</v>
      </c>
      <c r="F5" s="4" t="s">
        <v>88</v>
      </c>
      <c r="G5" s="4" t="s">
        <v>39</v>
      </c>
      <c r="H5" s="4">
        <v>2.0</v>
      </c>
      <c r="I5" s="4" t="s">
        <v>282</v>
      </c>
      <c r="J5" s="4" t="str">
        <f>IFERROR(__xludf.DUMMYFUNCTION("IFERROR(REGEXEXTRACT($I5,""DOM\s*M\((\d+/\d+)\)""),"""")
"),"2/2")</f>
        <v>2/2</v>
      </c>
      <c r="K5" s="4" t="str">
        <f>IFERROR(__xludf.DUMMYFUNCTION("IFERROR(REGEXEXTRACT($I5,""DOM.*?S\((\d+/\d+)\)""),"""")
"),"0/1")</f>
        <v>0/1</v>
      </c>
      <c r="L5" s="4" t="str">
        <f>IFERROR(__xludf.DUMMYFUNCTION("IFERROR(REGEXEXTRACT($I5,""DOM.*?C\((\d+/\d+)\)""),"""")
"),"0/1")</f>
        <v>0/1</v>
      </c>
      <c r="M5" s="4" t="str">
        <f>IFERROR(__xludf.DUMMYFUNCTION("IFERROR(REGEXEXTRACT($I5,""ECO\s*M\((\d+/\d+)\)""),"""")
"),"1/1")</f>
        <v>1/1</v>
      </c>
      <c r="N5" s="4" t="str">
        <f>IFERROR(__xludf.DUMMYFUNCTION("IFERROR(REGEXEXTRACT($I5,""ECO.*?S\((\d+/\d+)\)""),"""")
"),"0/1")</f>
        <v>0/1</v>
      </c>
      <c r="O5" s="4" t="str">
        <f>IFERROR(__xludf.DUMMYFUNCTION("IFERROR(REGEXEXTRACT($I5,""ECO.*?C\((\d+/\d+)\)""),"""")
"),"0/1")</f>
        <v>0/1</v>
      </c>
      <c r="P5" s="4" t="str">
        <f>IFERROR(__xludf.DUMMYFUNCTION("IFERROR(REGEXEXTRACT($I5,""LING\s*M\((\d+/\d+)\)""),"""")
"),"1/1")</f>
        <v>1/1</v>
      </c>
      <c r="Q5" s="4" t="str">
        <f>IFERROR(__xludf.DUMMYFUNCTION("IFERROR(REGEXEXTRACT($I5,""LING.*?S\((\d+/\d+)\)""),"""")
"),"2/2")</f>
        <v>2/2</v>
      </c>
      <c r="R5" s="4" t="str">
        <f>IFERROR(__xludf.DUMMYFUNCTION("IFERROR(REGEXEXTRACT($I5,""LING[^|]*C\(([0-9]+/[0-9]+)\)""),"""")
"),"0/1")</f>
        <v>0/1</v>
      </c>
      <c r="S5" s="4" t="b">
        <f>IFERROR(__xludf.DUMMYFUNCTION("AND(
  VALUE(INDEX(SPLIT(J5,""/""),1))=VALUE(INDEX(SPLIT(J5,""/""),2)),
  VALUE(INDEX(SPLIT(M5,""/""),1))=VALUE(INDEX(SPLIT(M5,""/""),2)),
  VALUE(INDEX(SPLIT(P5,""/""),1))=VALUE(INDEX(SPLIT(P5,""/""),2))
)
"),TRUE)</f>
        <v>1</v>
      </c>
      <c r="T5" s="4">
        <f>IFERROR(__xludf.DUMMYFUNCTION(" (VALUE(INDEX(SPLIT(J5,""/""),2))-VALUE(INDEX(SPLIT(J5,""/""),1)))
+ (VALUE(INDEX(SPLIT(M5,""/""),2))-VALUE(INDEX(SPLIT(M5,""/""),1)))
+ (VALUE(INDEX(SPLIT(P5,""/""),2))-VALUE(INDEX(SPLIT(P5,""/""),1)))
"),0.0)</f>
        <v>0</v>
      </c>
      <c r="U5" s="4" t="s">
        <v>283</v>
      </c>
      <c r="V5" s="4" t="s">
        <v>284</v>
      </c>
      <c r="W5" s="4" t="s">
        <v>285</v>
      </c>
      <c r="X5" s="4" t="s">
        <v>286</v>
      </c>
    </row>
    <row r="6" ht="16.5" customHeight="1">
      <c r="A6" s="33"/>
      <c r="B6" s="34"/>
      <c r="C6" s="4" t="s">
        <v>287</v>
      </c>
      <c r="D6" s="35" t="s">
        <v>100</v>
      </c>
      <c r="E6" s="35" t="s">
        <v>111</v>
      </c>
      <c r="F6" s="35" t="s">
        <v>145</v>
      </c>
      <c r="G6" s="35" t="s">
        <v>99</v>
      </c>
      <c r="H6" s="35">
        <v>2.0</v>
      </c>
      <c r="I6" s="4" t="s">
        <v>288</v>
      </c>
      <c r="J6" s="4" t="str">
        <f>IFERROR(__xludf.DUMMYFUNCTION("IFERROR(REGEXEXTRACT($I6,""DOM\s*M\((\d+/\d+)\)""),"""")
"),"1/2")</f>
        <v>1/2</v>
      </c>
      <c r="K6" s="4" t="str">
        <f>IFERROR(__xludf.DUMMYFUNCTION("IFERROR(REGEXEXTRACT($I6,""DOM.*?S\((\d+/\d+)\)""),"""")
"),"0/1")</f>
        <v>0/1</v>
      </c>
      <c r="L6" s="4" t="str">
        <f>IFERROR(__xludf.DUMMYFUNCTION("IFERROR(REGEXEXTRACT($I6,""DOM.*?C\((\d+/\d+)\)""),"""")
"),"1/1")</f>
        <v>1/1</v>
      </c>
      <c r="M6" s="4" t="str">
        <f>IFERROR(__xludf.DUMMYFUNCTION("IFERROR(REGEXEXTRACT($I6,""ECO\s*M\((\d+/\d+)\)""),"""")
"),"0/1")</f>
        <v>0/1</v>
      </c>
      <c r="N6" s="4" t="str">
        <f>IFERROR(__xludf.DUMMYFUNCTION("IFERROR(REGEXEXTRACT($I6,""ECO.*?S\((\d+/\d+)\)""),"""")
"),"1/1")</f>
        <v>1/1</v>
      </c>
      <c r="O6" s="4" t="str">
        <f>IFERROR(__xludf.DUMMYFUNCTION("IFERROR(REGEXEXTRACT($I6,""ECO.*?C\((\d+/\d+)\)""),"""")
"),"0/1")</f>
        <v>0/1</v>
      </c>
      <c r="P6" s="4" t="str">
        <f>IFERROR(__xludf.DUMMYFUNCTION("IFERROR(REGEXEXTRACT($I6,""LING\s*M\((\d+/\d+)\)""),"""")
"),"0/1")</f>
        <v>0/1</v>
      </c>
      <c r="Q6" s="4" t="str">
        <f>IFERROR(__xludf.DUMMYFUNCTION("IFERROR(REGEXEXTRACT($I6,""LING.*?S\((\d+/\d+)\)""),"""")
"),"1/2")</f>
        <v>1/2</v>
      </c>
      <c r="R6" s="4" t="str">
        <f>IFERROR(__xludf.DUMMYFUNCTION("IFERROR(REGEXEXTRACT($I6,""LING[^|]*C\(([0-9]+/[0-9]+)\)""),"""")
"),"0/1")</f>
        <v>0/1</v>
      </c>
      <c r="S6" s="4" t="b">
        <f>IFERROR(__xludf.DUMMYFUNCTION("AND(
  VALUE(INDEX(SPLIT(J6,""/""),1))=VALUE(INDEX(SPLIT(J6,""/""),2)),
  VALUE(INDEX(SPLIT(M6,""/""),1))=VALUE(INDEX(SPLIT(M6,""/""),2)),
  VALUE(INDEX(SPLIT(P6,""/""),1))=VALUE(INDEX(SPLIT(P6,""/""),2))
)
"),FALSE)</f>
        <v>0</v>
      </c>
      <c r="T6" s="4">
        <f>IFERROR(__xludf.DUMMYFUNCTION(" (VALUE(INDEX(SPLIT(J6,""/""),2))-VALUE(INDEX(SPLIT(J6,""/""),1)))
+ (VALUE(INDEX(SPLIT(M6,""/""),2))-VALUE(INDEX(SPLIT(M6,""/""),1)))
+ (VALUE(INDEX(SPLIT(P6,""/""),2))-VALUE(INDEX(SPLIT(P6,""/""),1)))
"),3.0)</f>
        <v>3</v>
      </c>
      <c r="U6" s="4" t="s">
        <v>289</v>
      </c>
      <c r="V6" s="4" t="s">
        <v>290</v>
      </c>
      <c r="W6" s="4" t="s">
        <v>291</v>
      </c>
      <c r="X6" s="4" t="s">
        <v>292</v>
      </c>
    </row>
    <row r="7" ht="15.75" customHeight="1">
      <c r="A7" s="36"/>
      <c r="J7" s="4" t="str">
        <f>IFERROR(__xludf.DUMMYFUNCTION("IFERROR(REGEXEXTRACT($I7,""DOM\s*M\((\d+/\d+)\)""),"""")
"),"")</f>
        <v/>
      </c>
      <c r="K7" s="4" t="str">
        <f>IFERROR(__xludf.DUMMYFUNCTION("IFERROR(REGEXEXTRACT($I7,""DOM.*?S\((\d+/\d+)\)""),"""")
"),"")</f>
        <v/>
      </c>
      <c r="L7" s="4" t="str">
        <f>IFERROR(__xludf.DUMMYFUNCTION("IFERROR(REGEXEXTRACT($I7,""DOM.*?C\((\d+/\d+)\)""),"""")
"),"")</f>
        <v/>
      </c>
      <c r="M7" s="4" t="str">
        <f>IFERROR(__xludf.DUMMYFUNCTION("IFERROR(REGEXEXTRACT($I7,""ECO\s*M\((\d+/\d+)\)""),"""")
"),"")</f>
        <v/>
      </c>
      <c r="N7" s="4" t="str">
        <f>IFERROR(__xludf.DUMMYFUNCTION("IFERROR(REGEXEXTRACT($I7,""ECO.*?S\((\d+/\d+)\)""),"""")
"),"")</f>
        <v/>
      </c>
      <c r="O7" s="4" t="str">
        <f>IFERROR(__xludf.DUMMYFUNCTION("IFERROR(REGEXEXTRACT($I7,""ECO.*?C\((\d+/\d+)\)""),"""")
"),"")</f>
        <v/>
      </c>
      <c r="P7" s="4" t="str">
        <f>IFERROR(__xludf.DUMMYFUNCTION("IFERROR(REGEXEXTRACT($I7,""LING\s*M\((\d+/\d+)\)""),"""")
"),"")</f>
        <v/>
      </c>
      <c r="Q7" s="4" t="str">
        <f>IFERROR(__xludf.DUMMYFUNCTION("IFERROR(REGEXEXTRACT($I7,""LING.*?S\((\d+/\d+)\)""),"""")
"),"")</f>
        <v/>
      </c>
      <c r="R7" s="4" t="str">
        <f>IFERROR(__xludf.DUMMYFUNCTION("IFERROR(REGEXEXTRACT($I7,""LING[^|]*C\(([0-9]+/[0-9]+)\)""),"""")
"),"")</f>
        <v/>
      </c>
    </row>
    <row r="8" ht="15.75" customHeight="1">
      <c r="A8" s="28" t="s">
        <v>209</v>
      </c>
      <c r="B8" s="29" t="str">
        <f>IFERROR(VLOOKUP(A8,Projects!$A$2:$C$7,2,FALSE),"")
</f>
        <v>Hybrid Mobile App with Web Panel</v>
      </c>
      <c r="C8" s="4" t="s">
        <v>293</v>
      </c>
      <c r="D8" s="30" t="s">
        <v>129</v>
      </c>
      <c r="E8" s="30" t="s">
        <v>39</v>
      </c>
      <c r="F8" s="30" t="s">
        <v>118</v>
      </c>
      <c r="G8" s="30" t="s">
        <v>93</v>
      </c>
      <c r="H8" s="30">
        <v>1.0</v>
      </c>
      <c r="I8" s="4" t="s">
        <v>294</v>
      </c>
      <c r="J8" s="4" t="str">
        <f>IFERROR(__xludf.DUMMYFUNCTION("IFERROR(REGEXEXTRACT($I8,""DOM\s*M\((\d+/\d+)\)""),"""")
"),"1/1")</f>
        <v>1/1</v>
      </c>
      <c r="K8" s="4" t="str">
        <f>IFERROR(__xludf.DUMMYFUNCTION("IFERROR(REGEXEXTRACT($I8,""DOM.*?S\((\d+/\d+)\)""),"""")
"),"1/1")</f>
        <v>1/1</v>
      </c>
      <c r="L8" s="4" t="str">
        <f>IFERROR(__xludf.DUMMYFUNCTION("IFERROR(REGEXEXTRACT($I8,""DOM.*?C\((\d+/\d+)\)""),"""")
"),"0/1")</f>
        <v>0/1</v>
      </c>
      <c r="M8" s="4" t="str">
        <f>IFERROR(__xludf.DUMMYFUNCTION("IFERROR(REGEXEXTRACT($I8,""ECO\s*M\((\d+/\d+)\)""),"""")
"),"1/2")</f>
        <v>1/2</v>
      </c>
      <c r="N8" s="4" t="str">
        <f>IFERROR(__xludf.DUMMYFUNCTION("IFERROR(REGEXEXTRACT($I8,""ECO.*?S\((\d+/\d+)\)""),"""")
"),"0/1")</f>
        <v>0/1</v>
      </c>
      <c r="O8" s="4" t="str">
        <f>IFERROR(__xludf.DUMMYFUNCTION("IFERROR(REGEXEXTRACT($I8,""ECO.*?C\((\d+/\d+)\)""),"""")
"),"1/1")</f>
        <v>1/1</v>
      </c>
      <c r="P8" s="4" t="str">
        <f>IFERROR(__xludf.DUMMYFUNCTION("IFERROR(REGEXEXTRACT($I8,""LING\s*M\((\d+/\d+)\)""),"""")
"),"1/2")</f>
        <v>1/2</v>
      </c>
      <c r="Q8" s="4" t="str">
        <f>IFERROR(__xludf.DUMMYFUNCTION("IFERROR(REGEXEXTRACT($I8,""LING.*?S\((\d+/\d+)\)""),"""")
"),"1/2")</f>
        <v>1/2</v>
      </c>
      <c r="R8" s="4" t="str">
        <f>IFERROR(__xludf.DUMMYFUNCTION("IFERROR(REGEXEXTRACT($I8,""LING[^|]*C\(([0-9]+/[0-9]+)\)""),"""")
"),"1/2")</f>
        <v>1/2</v>
      </c>
      <c r="S8" s="4" t="b">
        <f>IFERROR(__xludf.DUMMYFUNCTION("AND(
  VALUE(INDEX(SPLIT(J8,""/""),1))=VALUE(INDEX(SPLIT(J8,""/""),2)),
  VALUE(INDEX(SPLIT(M8,""/""),1))=VALUE(INDEX(SPLIT(M8,""/""),2)),
  VALUE(INDEX(SPLIT(P8,""/""),1))=VALUE(INDEX(SPLIT(P8,""/""),2))
)
"),FALSE)</f>
        <v>0</v>
      </c>
      <c r="T8" s="4">
        <f>IFERROR(__xludf.DUMMYFUNCTION(" (VALUE(INDEX(SPLIT(J8,""/""),2))-VALUE(INDEX(SPLIT(J8,""/""),1)))
+ (VALUE(INDEX(SPLIT(M8,""/""),2))-VALUE(INDEX(SPLIT(M8,""/""),1)))
+ (VALUE(INDEX(SPLIT(P8,""/""),2))-VALUE(INDEX(SPLIT(P8,""/""),1)))
"),2.0)</f>
        <v>2</v>
      </c>
      <c r="U8" s="4" t="s">
        <v>295</v>
      </c>
      <c r="V8" s="4" t="s">
        <v>296</v>
      </c>
      <c r="W8" s="4" t="s">
        <v>297</v>
      </c>
      <c r="X8" s="4" t="s">
        <v>298</v>
      </c>
    </row>
    <row r="9" ht="15.0" customHeight="1">
      <c r="A9" s="31"/>
      <c r="B9" s="32" t="str">
        <f>IFERROR(
"DOM  M["&amp;VLOOKUP($A8,Projects!$A:$L,4,FALSE)&amp;"] S["&amp;VLOOKUP($A8,Projects!$A:$L,5,FALSE)&amp;"] C["&amp;VLOOKUP($A8,Projects!$A:$L,6,FALSE)&amp;"]"&amp;CHAR(10)&amp;
"ECO  M["&amp;VLOOKUP($A8,Projects!$A:$L,7,FALSE)&amp;"] S["&amp;VLOOKUP($A8,Projects!$A:$L,8,FALSE)&amp;"] C["&amp;VLOOKUP($A8,Projects!$A:$L,9,FALSE)&amp;"]"&amp;CHAR(10)&amp;
"LING M["&amp;VLOOKUP($A8,Projects!$A:$L,10,FALSE)&amp;"] S["&amp;VLOOKUP($A8,Projects!$A:$L,11,FALSE)&amp;"] C["&amp;VLOOKUP($A8,Projects!$A:$L,12,FALSE)&amp;"]"
,"")
</f>
        <v>DOM  M[Mobile] S[Web] C[Cloud]
ECO  M[Android, iOS/iPadOS] S[React] C[.NET]
LING M[Kotlin, Swift] S[JavaScript, TypeScript] C[Java, C#]</v>
      </c>
      <c r="C9" s="4" t="s">
        <v>299</v>
      </c>
      <c r="D9" s="4" t="s">
        <v>88</v>
      </c>
      <c r="E9" s="4" t="s">
        <v>114</v>
      </c>
      <c r="F9" s="4" t="s">
        <v>132</v>
      </c>
      <c r="G9" s="4" t="s">
        <v>135</v>
      </c>
      <c r="H9" s="4">
        <v>2.0</v>
      </c>
      <c r="I9" s="4" t="s">
        <v>300</v>
      </c>
      <c r="J9" s="4" t="str">
        <f>IFERROR(__xludf.DUMMYFUNCTION("IFERROR(REGEXEXTRACT($I9,""DOM\s*M\((\d+/\d+)\)""),"""")
"),"0/1")</f>
        <v>0/1</v>
      </c>
      <c r="K9" s="4" t="str">
        <f>IFERROR(__xludf.DUMMYFUNCTION("IFERROR(REGEXEXTRACT($I9,""DOM.*?S\((\d+/\d+)\)""),"""")
"),"1/1")</f>
        <v>1/1</v>
      </c>
      <c r="L9" s="4" t="str">
        <f>IFERROR(__xludf.DUMMYFUNCTION("IFERROR(REGEXEXTRACT($I9,""DOM.*?C\((\d+/\d+)\)""),"""")
"),"0/1")</f>
        <v>0/1</v>
      </c>
      <c r="M9" s="4" t="str">
        <f>IFERROR(__xludf.DUMMYFUNCTION("IFERROR(REGEXEXTRACT($I9,""ECO\s*M\((\d+/\d+)\)""),"""")
"),"0/2")</f>
        <v>0/2</v>
      </c>
      <c r="N9" s="4" t="str">
        <f>IFERROR(__xludf.DUMMYFUNCTION("IFERROR(REGEXEXTRACT($I9,""ECO.*?S\((\d+/\d+)\)""),"""")
"),"1/1")</f>
        <v>1/1</v>
      </c>
      <c r="O9" s="4" t="str">
        <f>IFERROR(__xludf.DUMMYFUNCTION("IFERROR(REGEXEXTRACT($I9,""ECO.*?C\((\d+/\d+)\)""),"""")
"),"0/1")</f>
        <v>0/1</v>
      </c>
      <c r="P9" s="4" t="str">
        <f>IFERROR(__xludf.DUMMYFUNCTION("IFERROR(REGEXEXTRACT($I9,""LING\s*M\((\d+/\d+)\)""),"""")
"),"0/2")</f>
        <v>0/2</v>
      </c>
      <c r="Q9" s="4" t="str">
        <f>IFERROR(__xludf.DUMMYFUNCTION("IFERROR(REGEXEXTRACT($I9,""LING.*?S\((\d+/\d+)\)""),"""")
"),"2/2")</f>
        <v>2/2</v>
      </c>
      <c r="R9" s="4" t="str">
        <f>IFERROR(__xludf.DUMMYFUNCTION("IFERROR(REGEXEXTRACT($I9,""LING[^|]*C\(([0-9]+/[0-9]+)\)""),"""")
"),"1/2")</f>
        <v>1/2</v>
      </c>
      <c r="S9" s="4" t="b">
        <f>IFERROR(__xludf.DUMMYFUNCTION("AND(
  VALUE(INDEX(SPLIT(J9,""/""),1))=VALUE(INDEX(SPLIT(J9,""/""),2)),
  VALUE(INDEX(SPLIT(M9,""/""),1))=VALUE(INDEX(SPLIT(M9,""/""),2)),
  VALUE(INDEX(SPLIT(P9,""/""),1))=VALUE(INDEX(SPLIT(P9,""/""),2))
)
"),FALSE)</f>
        <v>0</v>
      </c>
      <c r="T9" s="4">
        <f>IFERROR(__xludf.DUMMYFUNCTION(" (VALUE(INDEX(SPLIT(J9,""/""),2))-VALUE(INDEX(SPLIT(J9,""/""),1)))
+ (VALUE(INDEX(SPLIT(M9,""/""),2))-VALUE(INDEX(SPLIT(M9,""/""),1)))
+ (VALUE(INDEX(SPLIT(P9,""/""),2))-VALUE(INDEX(SPLIT(P9,""/""),1)))
"),5.0)</f>
        <v>5</v>
      </c>
      <c r="U9" s="4" t="s">
        <v>301</v>
      </c>
      <c r="V9" s="4" t="s">
        <v>302</v>
      </c>
      <c r="W9" s="4" t="s">
        <v>303</v>
      </c>
      <c r="X9" s="4" t="s">
        <v>304</v>
      </c>
    </row>
    <row r="10" ht="15.75" customHeight="1">
      <c r="A10" s="31"/>
      <c r="C10" s="4" t="s">
        <v>305</v>
      </c>
      <c r="D10" s="4" t="s">
        <v>50</v>
      </c>
      <c r="E10" s="4" t="s">
        <v>52</v>
      </c>
      <c r="F10" s="4" t="s">
        <v>112</v>
      </c>
      <c r="G10" s="4" t="s">
        <v>70</v>
      </c>
      <c r="H10" s="4">
        <v>3.0</v>
      </c>
      <c r="I10" s="4" t="s">
        <v>306</v>
      </c>
      <c r="J10" s="4" t="str">
        <f>IFERROR(__xludf.DUMMYFUNCTION("IFERROR(REGEXEXTRACT($I10,""DOM\s*M\((\d+/\d+)\)""),"""")
"),"1/1")</f>
        <v>1/1</v>
      </c>
      <c r="K10" s="4" t="str">
        <f>IFERROR(__xludf.DUMMYFUNCTION("IFERROR(REGEXEXTRACT($I10,""DOM.*?S\((\d+/\d+)\)""),"""")
"),"1/1")</f>
        <v>1/1</v>
      </c>
      <c r="L10" s="4" t="str">
        <f>IFERROR(__xludf.DUMMYFUNCTION("IFERROR(REGEXEXTRACT($I10,""DOM.*?C\((\d+/\d+)\)""),"""")
"),"0/1")</f>
        <v>0/1</v>
      </c>
      <c r="M10" s="4" t="str">
        <f>IFERROR(__xludf.DUMMYFUNCTION("IFERROR(REGEXEXTRACT($I10,""ECO\s*M\((\d+/\d+)\)""),"""")
"),"1/2")</f>
        <v>1/2</v>
      </c>
      <c r="N10" s="4" t="str">
        <f>IFERROR(__xludf.DUMMYFUNCTION("IFERROR(REGEXEXTRACT($I10,""ECO.*?S\((\d+/\d+)\)""),"""")
"),"0/1")</f>
        <v>0/1</v>
      </c>
      <c r="O10" s="4" t="str">
        <f>IFERROR(__xludf.DUMMYFUNCTION("IFERROR(REGEXEXTRACT($I10,""ECO.*?C\((\d+/\d+)\)""),"""")
"),"1/1")</f>
        <v>1/1</v>
      </c>
      <c r="P10" s="4" t="str">
        <f>IFERROR(__xludf.DUMMYFUNCTION("IFERROR(REGEXEXTRACT($I10,""LING\s*M\((\d+/\d+)\)""),"""")
"),"1/2")</f>
        <v>1/2</v>
      </c>
      <c r="Q10" s="4" t="str">
        <f>IFERROR(__xludf.DUMMYFUNCTION("IFERROR(REGEXEXTRACT($I10,""LING.*?S\((\d+/\d+)\)""),"""")
"),"1/2")</f>
        <v>1/2</v>
      </c>
      <c r="R10" s="4" t="str">
        <f>IFERROR(__xludf.DUMMYFUNCTION("IFERROR(REGEXEXTRACT($I10,""LING[^|]*C\(([0-9]+/[0-9]+)\)""),"""")
"),"2/2")</f>
        <v>2/2</v>
      </c>
      <c r="S10" s="4" t="b">
        <f>IFERROR(__xludf.DUMMYFUNCTION("AND(
  VALUE(INDEX(SPLIT(J10,""/""),1))=VALUE(INDEX(SPLIT(J10,""/""),2)),
  VALUE(INDEX(SPLIT(M10,""/""),1))=VALUE(INDEX(SPLIT(M10,""/""),2)),
  VALUE(INDEX(SPLIT(P10,""/""),1))=VALUE(INDEX(SPLIT(P10,""/""),2))
)
"),FALSE)</f>
        <v>0</v>
      </c>
      <c r="T10" s="4">
        <f>IFERROR(__xludf.DUMMYFUNCTION(" (VALUE(INDEX(SPLIT(J10,""/""),2))-VALUE(INDEX(SPLIT(J10,""/""),1)))
+ (VALUE(INDEX(SPLIT(M10,""/""),2))-VALUE(INDEX(SPLIT(M10,""/""),1)))
+ (VALUE(INDEX(SPLIT(P10,""/""),2))-VALUE(INDEX(SPLIT(P10,""/""),1)))
"),2.0)</f>
        <v>2</v>
      </c>
      <c r="U10" s="4" t="s">
        <v>307</v>
      </c>
      <c r="V10" s="4" t="s">
        <v>308</v>
      </c>
      <c r="W10" s="4" t="s">
        <v>309</v>
      </c>
      <c r="X10" s="4" t="s">
        <v>310</v>
      </c>
    </row>
    <row r="11" ht="15.75" customHeight="1">
      <c r="A11" s="31"/>
      <c r="C11" s="4" t="s">
        <v>311</v>
      </c>
      <c r="D11" s="4" t="s">
        <v>130</v>
      </c>
      <c r="E11" s="4" t="s">
        <v>85</v>
      </c>
      <c r="F11" s="4" t="s">
        <v>135</v>
      </c>
      <c r="G11" s="4" t="s">
        <v>6</v>
      </c>
      <c r="H11" s="4">
        <v>4.0</v>
      </c>
      <c r="I11" s="4" t="s">
        <v>312</v>
      </c>
      <c r="J11" s="4" t="str">
        <f>IFERROR(__xludf.DUMMYFUNCTION("IFERROR(REGEXEXTRACT($I11,""DOM\s*M\((\d+/\d+)\)""),"""")
"),"1/1")</f>
        <v>1/1</v>
      </c>
      <c r="K11" s="4" t="str">
        <f>IFERROR(__xludf.DUMMYFUNCTION("IFERROR(REGEXEXTRACT($I11,""DOM.*?S\((\d+/\d+)\)""),"""")
"),"1/1")</f>
        <v>1/1</v>
      </c>
      <c r="L11" s="4" t="str">
        <f>IFERROR(__xludf.DUMMYFUNCTION("IFERROR(REGEXEXTRACT($I11,""DOM.*?C\((\d+/\d+)\)""),"""")
"),"1/1")</f>
        <v>1/1</v>
      </c>
      <c r="M11" s="4" t="str">
        <f>IFERROR(__xludf.DUMMYFUNCTION("IFERROR(REGEXEXTRACT($I11,""ECO\s*M\((\d+/\d+)\)""),"""")
"),"1/2")</f>
        <v>1/2</v>
      </c>
      <c r="N11" s="4" t="str">
        <f>IFERROR(__xludf.DUMMYFUNCTION("IFERROR(REGEXEXTRACT($I11,""ECO.*?S\((\d+/\d+)\)""),"""")
"),"1/1")</f>
        <v>1/1</v>
      </c>
      <c r="O11" s="4" t="str">
        <f>IFERROR(__xludf.DUMMYFUNCTION("IFERROR(REGEXEXTRACT($I11,""ECO.*?C\((\d+/\d+)\)""),"""")
"),"0/1")</f>
        <v>0/1</v>
      </c>
      <c r="P11" s="4" t="str">
        <f>IFERROR(__xludf.DUMMYFUNCTION("IFERROR(REGEXEXTRACT($I11,""LING\s*M\((\d+/\d+)\)""),"""")
"),"1/2")</f>
        <v>1/2</v>
      </c>
      <c r="Q11" s="4" t="str">
        <f>IFERROR(__xludf.DUMMYFUNCTION("IFERROR(REGEXEXTRACT($I11,""LING.*?S\((\d+/\d+)\)""),"""")
"),"1/2")</f>
        <v>1/2</v>
      </c>
      <c r="R11" s="4" t="str">
        <f>IFERROR(__xludf.DUMMYFUNCTION("IFERROR(REGEXEXTRACT($I11,""LING[^|]*C\(([0-9]+/[0-9]+)\)""),"""")
"),"0/2")</f>
        <v>0/2</v>
      </c>
      <c r="S11" s="4" t="b">
        <f>IFERROR(__xludf.DUMMYFUNCTION("AND(
  VALUE(INDEX(SPLIT(J11,""/""),1))=VALUE(INDEX(SPLIT(J11,""/""),2)),
  VALUE(INDEX(SPLIT(M11,""/""),1))=VALUE(INDEX(SPLIT(M11,""/""),2)),
  VALUE(INDEX(SPLIT(P11,""/""),1))=VALUE(INDEX(SPLIT(P11,""/""),2))
)
"),FALSE)</f>
        <v>0</v>
      </c>
      <c r="T11" s="4">
        <f>IFERROR(__xludf.DUMMYFUNCTION(" (VALUE(INDEX(SPLIT(J11,""/""),2))-VALUE(INDEX(SPLIT(J11,""/""),1)))
+ (VALUE(INDEX(SPLIT(M11,""/""),2))-VALUE(INDEX(SPLIT(M11,""/""),1)))
+ (VALUE(INDEX(SPLIT(P11,""/""),2))-VALUE(INDEX(SPLIT(P11,""/""),1)))
"),2.0)</f>
        <v>2</v>
      </c>
      <c r="U11" s="4" t="s">
        <v>313</v>
      </c>
      <c r="V11" s="4" t="s">
        <v>314</v>
      </c>
      <c r="W11" s="4" t="s">
        <v>315</v>
      </c>
      <c r="X11" s="4" t="s">
        <v>316</v>
      </c>
    </row>
    <row r="12" ht="15.75" customHeight="1">
      <c r="A12" s="33"/>
      <c r="B12" s="34"/>
      <c r="C12" s="4" t="s">
        <v>317</v>
      </c>
      <c r="D12" s="35" t="s">
        <v>48</v>
      </c>
      <c r="E12" s="35" t="s">
        <v>106</v>
      </c>
      <c r="F12" s="35" t="s">
        <v>147</v>
      </c>
      <c r="G12" s="35" t="s">
        <v>37</v>
      </c>
      <c r="H12" s="35">
        <v>3.0</v>
      </c>
      <c r="I12" s="4" t="s">
        <v>318</v>
      </c>
      <c r="J12" s="4" t="str">
        <f>IFERROR(__xludf.DUMMYFUNCTION("IFERROR(REGEXEXTRACT($I12,""DOM\s*M\((\d+/\d+)\)""),"""")
"),"1/1")</f>
        <v>1/1</v>
      </c>
      <c r="K12" s="4" t="str">
        <f>IFERROR(__xludf.DUMMYFUNCTION("IFERROR(REGEXEXTRACT($I12,""DOM.*?S\((\d+/\d+)\)""),"""")
"),"0/1")</f>
        <v>0/1</v>
      </c>
      <c r="L12" s="4" t="str">
        <f>IFERROR(__xludf.DUMMYFUNCTION("IFERROR(REGEXEXTRACT($I12,""DOM.*?C\((\d+/\d+)\)""),"""")
"),"0/1")</f>
        <v>0/1</v>
      </c>
      <c r="M12" s="4" t="str">
        <f>IFERROR(__xludf.DUMMYFUNCTION("IFERROR(REGEXEXTRACT($I12,""ECO\s*M\((\d+/\d+)\)""),"""")
"),"2/2")</f>
        <v>2/2</v>
      </c>
      <c r="N12" s="4" t="str">
        <f>IFERROR(__xludf.DUMMYFUNCTION("IFERROR(REGEXEXTRACT($I12,""ECO.*?S\((\d+/\d+)\)""),"""")
"),"0/1")</f>
        <v>0/1</v>
      </c>
      <c r="O12" s="4" t="str">
        <f>IFERROR(__xludf.DUMMYFUNCTION("IFERROR(REGEXEXTRACT($I12,""ECO.*?C\((\d+/\d+)\)""),"""")
"),"0/1")</f>
        <v>0/1</v>
      </c>
      <c r="P12" s="4" t="str">
        <f>IFERROR(__xludf.DUMMYFUNCTION("IFERROR(REGEXEXTRACT($I12,""LING\s*M\((\d+/\d+)\)""),"""")
"),"2/2")</f>
        <v>2/2</v>
      </c>
      <c r="Q12" s="4" t="str">
        <f>IFERROR(__xludf.DUMMYFUNCTION("IFERROR(REGEXEXTRACT($I12,""LING.*?S\((\d+/\d+)\)""),"""")
"),"1/2")</f>
        <v>1/2</v>
      </c>
      <c r="R12" s="4" t="str">
        <f>IFERROR(__xludf.DUMMYFUNCTION("IFERROR(REGEXEXTRACT($I12,""LING[^|]*C\(([0-9]+/[0-9]+)\)""),"""")
"),"0/2")</f>
        <v>0/2</v>
      </c>
      <c r="S12" s="4" t="b">
        <f>IFERROR(__xludf.DUMMYFUNCTION("AND(
  VALUE(INDEX(SPLIT(J12,""/""),1))=VALUE(INDEX(SPLIT(J12,""/""),2)),
  VALUE(INDEX(SPLIT(M12,""/""),1))=VALUE(INDEX(SPLIT(M12,""/""),2)),
  VALUE(INDEX(SPLIT(P12,""/""),1))=VALUE(INDEX(SPLIT(P12,""/""),2))
)
"),TRUE)</f>
        <v>1</v>
      </c>
      <c r="T12" s="4">
        <f>IFERROR(__xludf.DUMMYFUNCTION(" (VALUE(INDEX(SPLIT(J12,""/""),2))-VALUE(INDEX(SPLIT(J12,""/""),1)))
+ (VALUE(INDEX(SPLIT(M12,""/""),2))-VALUE(INDEX(SPLIT(M12,""/""),1)))
+ (VALUE(INDEX(SPLIT(P12,""/""),2))-VALUE(INDEX(SPLIT(P12,""/""),1)))
"),0.0)</f>
        <v>0</v>
      </c>
      <c r="U12" s="4" t="s">
        <v>319</v>
      </c>
      <c r="V12" s="4" t="s">
        <v>320</v>
      </c>
      <c r="W12" s="4" t="s">
        <v>321</v>
      </c>
      <c r="X12" s="4" t="s">
        <v>322</v>
      </c>
    </row>
    <row r="13" ht="17.25" customHeight="1">
      <c r="A13" s="36"/>
      <c r="J13" s="4" t="str">
        <f>IFERROR(__xludf.DUMMYFUNCTION("IFERROR(REGEXEXTRACT($I13,""DOM\s*M\((\d+/\d+)\)""),"""")
"),"")</f>
        <v/>
      </c>
      <c r="K13" s="4" t="str">
        <f>IFERROR(__xludf.DUMMYFUNCTION("IFERROR(REGEXEXTRACT($I13,""DOM.*?S\((\d+/\d+)\)""),"""")
"),"")</f>
        <v/>
      </c>
      <c r="L13" s="4" t="str">
        <f>IFERROR(__xludf.DUMMYFUNCTION("IFERROR(REGEXEXTRACT($I13,""DOM.*?C\((\d+/\d+)\)""),"""")
"),"")</f>
        <v/>
      </c>
      <c r="M13" s="4" t="str">
        <f>IFERROR(__xludf.DUMMYFUNCTION("IFERROR(REGEXEXTRACT($I13,""ECO\s*M\((\d+/\d+)\)""),"""")
"),"")</f>
        <v/>
      </c>
      <c r="N13" s="4" t="str">
        <f>IFERROR(__xludf.DUMMYFUNCTION("IFERROR(REGEXEXTRACT($I13,""ECO.*?S\((\d+/\d+)\)""),"""")
"),"")</f>
        <v/>
      </c>
      <c r="O13" s="4" t="str">
        <f>IFERROR(__xludf.DUMMYFUNCTION("IFERROR(REGEXEXTRACT($I13,""ECO.*?C\((\d+/\d+)\)""),"""")
"),"")</f>
        <v/>
      </c>
      <c r="P13" s="4" t="str">
        <f>IFERROR(__xludf.DUMMYFUNCTION("IFERROR(REGEXEXTRACT($I13,""LING\s*M\((\d+/\d+)\)""),"""")
"),"")</f>
        <v/>
      </c>
      <c r="Q13" s="4" t="str">
        <f>IFERROR(__xludf.DUMMYFUNCTION("IFERROR(REGEXEXTRACT($I13,""LING.*?S\((\d+/\d+)\)""),"""")
"),"")</f>
        <v/>
      </c>
      <c r="R13" s="4" t="str">
        <f>IFERROR(__xludf.DUMMYFUNCTION("IFERROR(REGEXEXTRACT($I13,""LING[^|]*C\(([0-9]+/[0-9]+)\)""),"""")
"),"")</f>
        <v/>
      </c>
    </row>
    <row r="14" ht="17.25" customHeight="1">
      <c r="A14" s="28" t="s">
        <v>215</v>
      </c>
      <c r="B14" s="29" t="str">
        <f>IFERROR(VLOOKUP(A14,Projects!$A$2:$C$7,2,FALSE),"")
</f>
        <v>Cloud IoT Sensor Platform </v>
      </c>
      <c r="C14" s="4" t="s">
        <v>323</v>
      </c>
      <c r="D14" s="30" t="s">
        <v>154</v>
      </c>
      <c r="E14" s="30" t="s">
        <v>150</v>
      </c>
      <c r="F14" s="30" t="s">
        <v>134</v>
      </c>
      <c r="G14" s="30" t="s">
        <v>156</v>
      </c>
      <c r="H14" s="30">
        <v>3.0</v>
      </c>
      <c r="I14" s="4" t="s">
        <v>324</v>
      </c>
      <c r="J14" s="4" t="str">
        <f>IFERROR(__xludf.DUMMYFUNCTION("IFERROR(REGEXEXTRACT($I14,""DOM\s*M\((\d+/\d+)\)""),"""")
"),"1/2")</f>
        <v>1/2</v>
      </c>
      <c r="K14" s="4" t="str">
        <f>IFERROR(__xludf.DUMMYFUNCTION("IFERROR(REGEXEXTRACT($I14,""DOM.*?S\((\d+/\d+)\)""),"""")
"),"1/1")</f>
        <v>1/1</v>
      </c>
      <c r="L14" s="4" t="str">
        <f>IFERROR(__xludf.DUMMYFUNCTION("IFERROR(REGEXEXTRACT($I14,""DOM.*?C\((\d+/\d+)\)""),"""")
"),"0/1")</f>
        <v>0/1</v>
      </c>
      <c r="M14" s="4" t="str">
        <f>IFERROR(__xludf.DUMMYFUNCTION("IFERROR(REGEXEXTRACT($I14,""ECO\s*M\((\d+/\d+)\)""),"""")
"),"1/1")</f>
        <v>1/1</v>
      </c>
      <c r="N14" s="4" t="str">
        <f>IFERROR(__xludf.DUMMYFUNCTION("IFERROR(REGEXEXTRACT($I14,""ECO.*?S\((\d+/\d+)\)""),"""")
"),"1/3")</f>
        <v>1/3</v>
      </c>
      <c r="O14" s="4" t="str">
        <f>IFERROR(__xludf.DUMMYFUNCTION("IFERROR(REGEXEXTRACT($I14,""ECO.*?C\((\d+/\d+)\)""),"""")
"),"1/1")</f>
        <v>1/1</v>
      </c>
      <c r="P14" s="4" t="str">
        <f>IFERROR(__xludf.DUMMYFUNCTION("IFERROR(REGEXEXTRACT($I14,""LING\s*M\((\d+/\d+)\)""),"""")
"),"1/2")</f>
        <v>1/2</v>
      </c>
      <c r="Q14" s="4" t="str">
        <f>IFERROR(__xludf.DUMMYFUNCTION("IFERROR(REGEXEXTRACT($I14,""LING.*?S\((\d+/\d+)\)""),"""")
"),"1/1")</f>
        <v>1/1</v>
      </c>
      <c r="R14" s="4" t="str">
        <f>IFERROR(__xludf.DUMMYFUNCTION("IFERROR(REGEXEXTRACT($I14,""LING[^|]*C\(([0-9]+/[0-9]+)\)""),"""")
"),"0/2")</f>
        <v>0/2</v>
      </c>
      <c r="S14" s="4" t="b">
        <f>IFERROR(__xludf.DUMMYFUNCTION("AND(
  VALUE(INDEX(SPLIT(J14,""/""),1))=VALUE(INDEX(SPLIT(J14,""/""),2)),
  VALUE(INDEX(SPLIT(M14,""/""),1))=VALUE(INDEX(SPLIT(M14,""/""),2)),
  VALUE(INDEX(SPLIT(P14,""/""),1))=VALUE(INDEX(SPLIT(P14,""/""),2))
)
"),FALSE)</f>
        <v>0</v>
      </c>
      <c r="T14" s="4">
        <f>IFERROR(__xludf.DUMMYFUNCTION(" (VALUE(INDEX(SPLIT(J14,""/""),2))-VALUE(INDEX(SPLIT(J14,""/""),1)))
+ (VALUE(INDEX(SPLIT(M14,""/""),2))-VALUE(INDEX(SPLIT(M14,""/""),1)))
+ (VALUE(INDEX(SPLIT(P14,""/""),2))-VALUE(INDEX(SPLIT(P14,""/""),1)))
"),2.0)</f>
        <v>2</v>
      </c>
      <c r="U14" s="4" t="s">
        <v>325</v>
      </c>
      <c r="V14" s="4" t="s">
        <v>326</v>
      </c>
      <c r="W14" s="4" t="s">
        <v>327</v>
      </c>
      <c r="X14" s="4" t="s">
        <v>328</v>
      </c>
    </row>
    <row r="15" ht="16.5" customHeight="1">
      <c r="A15" s="31"/>
      <c r="B15" s="32" t="str">
        <f>IFERROR(
"DOM  M["&amp;VLOOKUP($A14,Projects!$A:$L,4,FALSE)&amp;"] S["&amp;VLOOKUP($A14,Projects!$A:$L,5,FALSE)&amp;"] C["&amp;VLOOKUP($A14,Projects!$A:$L,6,FALSE)&amp;"]"&amp;CHAR(10)&amp;
"ECO  M["&amp;VLOOKUP($A14,Projects!$A:$L,7,FALSE)&amp;"] S["&amp;VLOOKUP($A14,Projects!$A:$L,8,FALSE)&amp;"] C["&amp;VLOOKUP($A14,Projects!$A:$L,9,FALSE)&amp;"]"&amp;CHAR(10)&amp;
"LING M["&amp;VLOOKUP($A14,Projects!$A:$L,10,FALSE)&amp;"] S["&amp;VLOOKUP($A14,Projects!$A:$L,11,FALSE)&amp;"] C["&amp;VLOOKUP($A14,Projects!$A:$L,12,FALSE)&amp;"]"
,"")
</f>
        <v>DOM  M[IoT, Cloud] S[Web] C[Desktop]
ECO  M[AWS Lambda] S[React, Angular, MongoDB] C[Android]
LING M[Python, C++] S[JavaScript] C[Java, TypeScript]</v>
      </c>
      <c r="C15" s="4" t="s">
        <v>329</v>
      </c>
      <c r="D15" s="4" t="s">
        <v>48</v>
      </c>
      <c r="E15" s="4" t="s">
        <v>123</v>
      </c>
      <c r="F15" s="4" t="s">
        <v>157</v>
      </c>
      <c r="G15" s="4" t="s">
        <v>158</v>
      </c>
      <c r="H15" s="4">
        <v>5.0</v>
      </c>
      <c r="I15" s="4" t="s">
        <v>330</v>
      </c>
      <c r="J15" s="4" t="str">
        <f>IFERROR(__xludf.DUMMYFUNCTION("IFERROR(REGEXEXTRACT($I15,""DOM\s*M\((\d+/\d+)\)""),"""")
"),"0/2")</f>
        <v>0/2</v>
      </c>
      <c r="K15" s="4" t="str">
        <f>IFERROR(__xludf.DUMMYFUNCTION("IFERROR(REGEXEXTRACT($I15,""DOM.*?S\((\d+/\d+)\)""),"""")
"),"1/1")</f>
        <v>1/1</v>
      </c>
      <c r="L15" s="4" t="str">
        <f>IFERROR(__xludf.DUMMYFUNCTION("IFERROR(REGEXEXTRACT($I15,""DOM.*?C\((\d+/\d+)\)""),"""")
"),"0/1")</f>
        <v>0/1</v>
      </c>
      <c r="M15" s="4" t="str">
        <f>IFERROR(__xludf.DUMMYFUNCTION("IFERROR(REGEXEXTRACT($I15,""ECO\s*M\((\d+/\d+)\)""),"""")
"),"0/1")</f>
        <v>0/1</v>
      </c>
      <c r="N15" s="4" t="str">
        <f>IFERROR(__xludf.DUMMYFUNCTION("IFERROR(REGEXEXTRACT($I15,""ECO.*?S\((\d+/\d+)\)""),"""")
"),"1/3")</f>
        <v>1/3</v>
      </c>
      <c r="O15" s="4" t="str">
        <f>IFERROR(__xludf.DUMMYFUNCTION("IFERROR(REGEXEXTRACT($I15,""ECO.*?C\((\d+/\d+)\)""),"""")
"),"1/1")</f>
        <v>1/1</v>
      </c>
      <c r="P15" s="4" t="str">
        <f>IFERROR(__xludf.DUMMYFUNCTION("IFERROR(REGEXEXTRACT($I15,""LING\s*M\((\d+/\d+)\)""),"""")
"),"0/2")</f>
        <v>0/2</v>
      </c>
      <c r="Q15" s="4" t="str">
        <f>IFERROR(__xludf.DUMMYFUNCTION("IFERROR(REGEXEXTRACT($I15,""LING.*?S\((\d+/\d+)\)""),"""")
"),"1/1")</f>
        <v>1/1</v>
      </c>
      <c r="R15" s="4" t="str">
        <f>IFERROR(__xludf.DUMMYFUNCTION("IFERROR(REGEXEXTRACT($I15,""LING[^|]*C\(([0-9]+/[0-9]+)\)""),"""")
"),"1/2")</f>
        <v>1/2</v>
      </c>
      <c r="S15" s="4" t="b">
        <f>IFERROR(__xludf.DUMMYFUNCTION("AND(
  VALUE(INDEX(SPLIT(J15,""/""),1))=VALUE(INDEX(SPLIT(J15,""/""),2)),
  VALUE(INDEX(SPLIT(M15,""/""),1))=VALUE(INDEX(SPLIT(M15,""/""),2)),
  VALUE(INDEX(SPLIT(P15,""/""),1))=VALUE(INDEX(SPLIT(P15,""/""),2))
)
"),FALSE)</f>
        <v>0</v>
      </c>
      <c r="T15" s="4">
        <f>IFERROR(__xludf.DUMMYFUNCTION(" (VALUE(INDEX(SPLIT(J15,""/""),2))-VALUE(INDEX(SPLIT(J15,""/""),1)))
+ (VALUE(INDEX(SPLIT(M15,""/""),2))-VALUE(INDEX(SPLIT(M15,""/""),1)))
+ (VALUE(INDEX(SPLIT(P15,""/""),2))-VALUE(INDEX(SPLIT(P15,""/""),1)))
"),5.0)</f>
        <v>5</v>
      </c>
      <c r="U15" s="4" t="s">
        <v>331</v>
      </c>
      <c r="V15" s="4" t="s">
        <v>332</v>
      </c>
      <c r="W15" s="4" t="s">
        <v>333</v>
      </c>
      <c r="X15" s="4" t="s">
        <v>334</v>
      </c>
    </row>
    <row r="16" ht="17.25" customHeight="1">
      <c r="A16" s="31"/>
      <c r="C16" s="4" t="s">
        <v>335</v>
      </c>
      <c r="D16" s="4" t="s">
        <v>159</v>
      </c>
      <c r="E16" s="4" t="s">
        <v>160</v>
      </c>
      <c r="F16" s="4" t="s">
        <v>161</v>
      </c>
      <c r="G16" s="4" t="s">
        <v>162</v>
      </c>
      <c r="H16" s="4">
        <v>4.0</v>
      </c>
      <c r="I16" s="4" t="s">
        <v>336</v>
      </c>
      <c r="J16" s="4" t="str">
        <f>IFERROR(__xludf.DUMMYFUNCTION("IFERROR(REGEXEXTRACT($I16,""DOM\s*M\((\d+/\d+)\)""),"""")
"),"0/2")</f>
        <v>0/2</v>
      </c>
      <c r="K16" s="4" t="str">
        <f>IFERROR(__xludf.DUMMYFUNCTION("IFERROR(REGEXEXTRACT($I16,""DOM.*?S\((\d+/\d+)\)""),"""")
"),"1/1")</f>
        <v>1/1</v>
      </c>
      <c r="L16" s="4" t="str">
        <f>IFERROR(__xludf.DUMMYFUNCTION("IFERROR(REGEXEXTRACT($I16,""DOM.*?C\((\d+/\d+)\)""),"""")
"),"1/1")</f>
        <v>1/1</v>
      </c>
      <c r="M16" s="4" t="str">
        <f>IFERROR(__xludf.DUMMYFUNCTION("IFERROR(REGEXEXTRACT($I16,""ECO\s*M\((\d+/\d+)\)""),"""")
"),"0/1")</f>
        <v>0/1</v>
      </c>
      <c r="N16" s="4" t="str">
        <f>IFERROR(__xludf.DUMMYFUNCTION("IFERROR(REGEXEXTRACT($I16,""ECO.*?S\((\d+/\d+)\)""),"""")
"),"1/3")</f>
        <v>1/3</v>
      </c>
      <c r="O16" s="4" t="str">
        <f>IFERROR(__xludf.DUMMYFUNCTION("IFERROR(REGEXEXTRACT($I16,""ECO.*?C\((\d+/\d+)\)""),"""")
"),"0/1")</f>
        <v>0/1</v>
      </c>
      <c r="P16" s="4" t="str">
        <f>IFERROR(__xludf.DUMMYFUNCTION("IFERROR(REGEXEXTRACT($I16,""LING\s*M\((\d+/\d+)\)""),"""")
"),"0/2")</f>
        <v>0/2</v>
      </c>
      <c r="Q16" s="4" t="str">
        <f>IFERROR(__xludf.DUMMYFUNCTION("IFERROR(REGEXEXTRACT($I16,""LING.*?S\((\d+/\d+)\)""),"""")
"),"1/1")</f>
        <v>1/1</v>
      </c>
      <c r="R16" s="4" t="str">
        <f>IFERROR(__xludf.DUMMYFUNCTION("IFERROR(REGEXEXTRACT($I16,""LING[^|]*C\(([0-9]+/[0-9]+)\)""),"""")
"),"0/2")</f>
        <v>0/2</v>
      </c>
      <c r="S16" s="4" t="b">
        <f>IFERROR(__xludf.DUMMYFUNCTION("AND(
  VALUE(INDEX(SPLIT(J16,""/""),1))=VALUE(INDEX(SPLIT(J16,""/""),2)),
  VALUE(INDEX(SPLIT(M16,""/""),1))=VALUE(INDEX(SPLIT(M16,""/""),2)),
  VALUE(INDEX(SPLIT(P16,""/""),1))=VALUE(INDEX(SPLIT(P16,""/""),2))
)
"),FALSE)</f>
        <v>0</v>
      </c>
      <c r="T16" s="4">
        <f>IFERROR(__xludf.DUMMYFUNCTION(" (VALUE(INDEX(SPLIT(J16,""/""),2))-VALUE(INDEX(SPLIT(J16,""/""),1)))
+ (VALUE(INDEX(SPLIT(M16,""/""),2))-VALUE(INDEX(SPLIT(M16,""/""),1)))
+ (VALUE(INDEX(SPLIT(P16,""/""),2))-VALUE(INDEX(SPLIT(P16,""/""),1)))
"),5.0)</f>
        <v>5</v>
      </c>
      <c r="U16" s="4" t="s">
        <v>337</v>
      </c>
      <c r="V16" s="4" t="s">
        <v>338</v>
      </c>
      <c r="W16" s="4" t="s">
        <v>339</v>
      </c>
      <c r="X16" s="4" t="s">
        <v>340</v>
      </c>
    </row>
    <row r="17" ht="15.75" customHeight="1">
      <c r="A17" s="31"/>
      <c r="C17" s="4" t="s">
        <v>341</v>
      </c>
      <c r="D17" s="4" t="s">
        <v>159</v>
      </c>
      <c r="E17" s="4" t="s">
        <v>164</v>
      </c>
      <c r="F17" s="4" t="s">
        <v>165</v>
      </c>
      <c r="G17" s="4" t="s">
        <v>166</v>
      </c>
      <c r="H17" s="4">
        <v>3.0</v>
      </c>
      <c r="I17" s="4" t="s">
        <v>342</v>
      </c>
      <c r="J17" s="4" t="str">
        <f>IFERROR(__xludf.DUMMYFUNCTION("IFERROR(REGEXEXTRACT($I17,""DOM\s*M\((\d+/\d+)\)""),"""")
"),"0/2")</f>
        <v>0/2</v>
      </c>
      <c r="K17" s="4" t="str">
        <f>IFERROR(__xludf.DUMMYFUNCTION("IFERROR(REGEXEXTRACT($I17,""DOM.*?S\((\d+/\d+)\)""),"""")
"),"1/1")</f>
        <v>1/1</v>
      </c>
      <c r="L17" s="4" t="str">
        <f>IFERROR(__xludf.DUMMYFUNCTION("IFERROR(REGEXEXTRACT($I17,""DOM.*?C\((\d+/\d+)\)""),"""")
"),"0/1")</f>
        <v>0/1</v>
      </c>
      <c r="M17" s="4" t="str">
        <f>IFERROR(__xludf.DUMMYFUNCTION("IFERROR(REGEXEXTRACT($I17,""ECO\s*M\((\d+/\d+)\)""),"""")
"),"0/1")</f>
        <v>0/1</v>
      </c>
      <c r="N17" s="4" t="str">
        <f>IFERROR(__xludf.DUMMYFUNCTION("IFERROR(REGEXEXTRACT($I17,""ECO.*?S\((\d+/\d+)\)""),"""")
"),"1/3")</f>
        <v>1/3</v>
      </c>
      <c r="O17" s="4" t="str">
        <f>IFERROR(__xludf.DUMMYFUNCTION("IFERROR(REGEXEXTRACT($I17,""ECO.*?C\((\d+/\d+)\)""),"""")
"),"0/1")</f>
        <v>0/1</v>
      </c>
      <c r="P17" s="4" t="str">
        <f>IFERROR(__xludf.DUMMYFUNCTION("IFERROR(REGEXEXTRACT($I17,""LING\s*M\((\d+/\d+)\)""),"""")
"),"0/2")</f>
        <v>0/2</v>
      </c>
      <c r="Q17" s="4" t="str">
        <f>IFERROR(__xludf.DUMMYFUNCTION("IFERROR(REGEXEXTRACT($I17,""LING.*?S\((\d+/\d+)\)""),"""")
"),"1/1")</f>
        <v>1/1</v>
      </c>
      <c r="R17" s="4" t="str">
        <f>IFERROR(__xludf.DUMMYFUNCTION("IFERROR(REGEXEXTRACT($I17,""LING[^|]*C\(([0-9]+/[0-9]+)\)""),"""")
"),"1/2")</f>
        <v>1/2</v>
      </c>
      <c r="S17" s="4" t="b">
        <f>IFERROR(__xludf.DUMMYFUNCTION("AND(
  VALUE(INDEX(SPLIT(J17,""/""),1))=VALUE(INDEX(SPLIT(J17,""/""),2)),
  VALUE(INDEX(SPLIT(M17,""/""),1))=VALUE(INDEX(SPLIT(M17,""/""),2)),
  VALUE(INDEX(SPLIT(P17,""/""),1))=VALUE(INDEX(SPLIT(P17,""/""),2))
)
"),FALSE)</f>
        <v>0</v>
      </c>
      <c r="T17" s="4">
        <f>IFERROR(__xludf.DUMMYFUNCTION(" (VALUE(INDEX(SPLIT(J17,""/""),2))-VALUE(INDEX(SPLIT(J17,""/""),1)))
+ (VALUE(INDEX(SPLIT(M17,""/""),2))-VALUE(INDEX(SPLIT(M17,""/""),1)))
+ (VALUE(INDEX(SPLIT(P17,""/""),2))-VALUE(INDEX(SPLIT(P17,""/""),1)))
"),5.0)</f>
        <v>5</v>
      </c>
      <c r="U17" s="4" t="s">
        <v>343</v>
      </c>
      <c r="V17" s="4" t="s">
        <v>344</v>
      </c>
      <c r="W17" s="4" t="s">
        <v>345</v>
      </c>
      <c r="X17" s="4" t="s">
        <v>346</v>
      </c>
    </row>
    <row r="18" ht="16.5" customHeight="1">
      <c r="A18" s="33"/>
      <c r="B18" s="34"/>
      <c r="C18" s="4" t="s">
        <v>347</v>
      </c>
      <c r="D18" s="35" t="s">
        <v>122</v>
      </c>
      <c r="E18" s="35" t="s">
        <v>167</v>
      </c>
      <c r="F18" s="35" t="s">
        <v>80</v>
      </c>
      <c r="G18" s="35" t="s">
        <v>168</v>
      </c>
      <c r="H18" s="35">
        <v>5.0</v>
      </c>
      <c r="I18" s="4" t="s">
        <v>348</v>
      </c>
      <c r="J18" s="4" t="str">
        <f>IFERROR(__xludf.DUMMYFUNCTION("IFERROR(REGEXEXTRACT($I18,""DOM\s*M\((\d+/\d+)\)""),"""")
"),"0/2")</f>
        <v>0/2</v>
      </c>
      <c r="K18" s="4" t="str">
        <f>IFERROR(__xludf.DUMMYFUNCTION("IFERROR(REGEXEXTRACT($I18,""DOM.*?S\((\d+/\d+)\)""),"""")
"),"1/1")</f>
        <v>1/1</v>
      </c>
      <c r="L18" s="4" t="str">
        <f>IFERROR(__xludf.DUMMYFUNCTION("IFERROR(REGEXEXTRACT($I18,""DOM.*?C\((\d+/\d+)\)""),"""")
"),"0/1")</f>
        <v>0/1</v>
      </c>
      <c r="M18" s="4" t="str">
        <f>IFERROR(__xludf.DUMMYFUNCTION("IFERROR(REGEXEXTRACT($I18,""ECO\s*M\((\d+/\d+)\)""),"""")
"),"0/1")</f>
        <v>0/1</v>
      </c>
      <c r="N18" s="4" t="str">
        <f>IFERROR(__xludf.DUMMYFUNCTION("IFERROR(REGEXEXTRACT($I18,""ECO.*?S\((\d+/\d+)\)""),"""")
"),"1/3")</f>
        <v>1/3</v>
      </c>
      <c r="O18" s="4" t="str">
        <f>IFERROR(__xludf.DUMMYFUNCTION("IFERROR(REGEXEXTRACT($I18,""ECO.*?C\((\d+/\d+)\)""),"""")
"),"0/1")</f>
        <v>0/1</v>
      </c>
      <c r="P18" s="4" t="str">
        <f>IFERROR(__xludf.DUMMYFUNCTION("IFERROR(REGEXEXTRACT($I18,""LING\s*M\((\d+/\d+)\)""),"""")
"),"0/2")</f>
        <v>0/2</v>
      </c>
      <c r="Q18" s="4" t="str">
        <f>IFERROR(__xludf.DUMMYFUNCTION("IFERROR(REGEXEXTRACT($I18,""LING.*?S\((\d+/\d+)\)""),"""")
"),"1/1")</f>
        <v>1/1</v>
      </c>
      <c r="R18" s="4" t="str">
        <f>IFERROR(__xludf.DUMMYFUNCTION("IFERROR(REGEXEXTRACT($I18,""LING[^|]*C\(([0-9]+/[0-9]+)\)""),"""")
"),"0/2")</f>
        <v>0/2</v>
      </c>
      <c r="S18" s="4" t="b">
        <f>IFERROR(__xludf.DUMMYFUNCTION("AND(
  VALUE(INDEX(SPLIT(J18,""/""),1))=VALUE(INDEX(SPLIT(J18,""/""),2)),
  VALUE(INDEX(SPLIT(M18,""/""),1))=VALUE(INDEX(SPLIT(M18,""/""),2)),
  VALUE(INDEX(SPLIT(P18,""/""),1))=VALUE(INDEX(SPLIT(P18,""/""),2))
)
"),FALSE)</f>
        <v>0</v>
      </c>
      <c r="T18" s="4">
        <f>IFERROR(__xludf.DUMMYFUNCTION(" (VALUE(INDEX(SPLIT(J18,""/""),2))-VALUE(INDEX(SPLIT(J18,""/""),1)))
+ (VALUE(INDEX(SPLIT(M18,""/""),2))-VALUE(INDEX(SPLIT(M18,""/""),1)))
+ (VALUE(INDEX(SPLIT(P18,""/""),2))-VALUE(INDEX(SPLIT(P18,""/""),1)))
"),5.0)</f>
        <v>5</v>
      </c>
      <c r="U18" s="4" t="s">
        <v>349</v>
      </c>
      <c r="V18" s="4" t="s">
        <v>350</v>
      </c>
      <c r="W18" s="4" t="s">
        <v>351</v>
      </c>
      <c r="X18" s="4" t="s">
        <v>352</v>
      </c>
    </row>
    <row r="19" ht="16.5" customHeight="1">
      <c r="A19" s="36"/>
      <c r="J19" s="4" t="str">
        <f>IFERROR(__xludf.DUMMYFUNCTION("IFERROR(REGEXEXTRACT($I19,""DOM\s*M\((\d+/\d+)\)""),"""")
"),"")</f>
        <v/>
      </c>
      <c r="K19" s="4" t="str">
        <f>IFERROR(__xludf.DUMMYFUNCTION("IFERROR(REGEXEXTRACT($I19,""DOM.*?S\((\d+/\d+)\)""),"""")
"),"")</f>
        <v/>
      </c>
      <c r="L19" s="4" t="str">
        <f>IFERROR(__xludf.DUMMYFUNCTION("IFERROR(REGEXEXTRACT($I19,""DOM.*?C\((\d+/\d+)\)""),"""")
"),"")</f>
        <v/>
      </c>
      <c r="M19" s="4" t="str">
        <f>IFERROR(__xludf.DUMMYFUNCTION("IFERROR(REGEXEXTRACT($I19,""ECO\s*M\((\d+/\d+)\)""),"""")
"),"")</f>
        <v/>
      </c>
      <c r="N19" s="4" t="str">
        <f>IFERROR(__xludf.DUMMYFUNCTION("IFERROR(REGEXEXTRACT($I19,""ECO.*?S\((\d+/\d+)\)""),"""")
"),"")</f>
        <v/>
      </c>
      <c r="O19" s="4" t="str">
        <f>IFERROR(__xludf.DUMMYFUNCTION("IFERROR(REGEXEXTRACT($I19,""ECO.*?C\((\d+/\d+)\)""),"""")
"),"")</f>
        <v/>
      </c>
      <c r="P19" s="4" t="str">
        <f>IFERROR(__xludf.DUMMYFUNCTION("IFERROR(REGEXEXTRACT($I19,""LING\s*M\((\d+/\d+)\)""),"""")
"),"")</f>
        <v/>
      </c>
      <c r="Q19" s="4" t="str">
        <f>IFERROR(__xludf.DUMMYFUNCTION("IFERROR(REGEXEXTRACT($I19,""LING.*?S\((\d+/\d+)\)""),"""")
"),"")</f>
        <v/>
      </c>
      <c r="R19" s="4" t="str">
        <f>IFERROR(__xludf.DUMMYFUNCTION("IFERROR(REGEXEXTRACT($I19,""LING[^|]*C\(([0-9]+/[0-9]+)\)""),"""")
"),"")</f>
        <v/>
      </c>
    </row>
    <row r="20" ht="16.5" customHeight="1">
      <c r="A20" s="28" t="s">
        <v>222</v>
      </c>
      <c r="B20" s="29" t="str">
        <f>IFERROR(VLOOKUP(A20,Projects!$A$2:$C$7,2,FALSE),"")
</f>
        <v>Web Analytic Reports SaaS</v>
      </c>
      <c r="C20" s="4" t="s">
        <v>353</v>
      </c>
      <c r="D20" s="30" t="s">
        <v>85</v>
      </c>
      <c r="E20" s="30" t="s">
        <v>83</v>
      </c>
      <c r="F20" s="30" t="s">
        <v>98</v>
      </c>
      <c r="G20" s="30" t="s">
        <v>149</v>
      </c>
      <c r="H20" s="30">
        <v>2.0</v>
      </c>
      <c r="I20" s="4" t="s">
        <v>354</v>
      </c>
      <c r="J20" s="4" t="str">
        <f>IFERROR(__xludf.DUMMYFUNCTION("IFERROR(REGEXEXTRACT($I20,""DOM\s*M\((\d+/\d+)\)""),"""")
"),"1/1")</f>
        <v>1/1</v>
      </c>
      <c r="K20" s="4" t="str">
        <f>IFERROR(__xludf.DUMMYFUNCTION("IFERROR(REGEXEXTRACT($I20,""DOM.*?S\((\d+/\d+)\)""),"""")
"),"0/1")</f>
        <v>0/1</v>
      </c>
      <c r="L20" s="4" t="str">
        <f>IFERROR(__xludf.DUMMYFUNCTION("IFERROR(REGEXEXTRACT($I20,""DOM.*?C\((\d+/\d+)\)""),"""")
"),"1/1")</f>
        <v>1/1</v>
      </c>
      <c r="M20" s="4" t="str">
        <f>IFERROR(__xludf.DUMMYFUNCTION("IFERROR(REGEXEXTRACT($I20,""ECO\s*M\((\d+/\d+)\)""),"""")
"),"0/1")</f>
        <v>0/1</v>
      </c>
      <c r="N20" s="4" t="str">
        <f>IFERROR(__xludf.DUMMYFUNCTION("IFERROR(REGEXEXTRACT($I20,""ECO.*?S\((\d+/\d+)\)""),"""")
"),"0/2")</f>
        <v>0/2</v>
      </c>
      <c r="O20" s="4" t="str">
        <f>IFERROR(__xludf.DUMMYFUNCTION("IFERROR(REGEXEXTRACT($I20,""ECO.*?C\((\d+/\d+)\)""),"""")
"),"0/1")</f>
        <v>0/1</v>
      </c>
      <c r="P20" s="4" t="str">
        <f>IFERROR(__xludf.DUMMYFUNCTION("IFERROR(REGEXEXTRACT($I20,""LING\s*M\((\d+/\d+)\)""),"""")
"),"1/1")</f>
        <v>1/1</v>
      </c>
      <c r="Q20" s="4" t="str">
        <f>IFERROR(__xludf.DUMMYFUNCTION("IFERROR(REGEXEXTRACT($I20,""LING.*?S\((\d+/\d+)\)""),"""")
"),"0/2")</f>
        <v>0/2</v>
      </c>
      <c r="R20" s="4" t="str">
        <f>IFERROR(__xludf.DUMMYFUNCTION("IFERROR(REGEXEXTRACT($I20,""LING[^|]*C\(([0-9]+/[0-9]+)\)""),"""")
"),"1/2")</f>
        <v>1/2</v>
      </c>
      <c r="S20" s="4" t="b">
        <f>IFERROR(__xludf.DUMMYFUNCTION("AND(
  VALUE(INDEX(SPLIT(J20,""/""),1))=VALUE(INDEX(SPLIT(J20,""/""),2)),
  VALUE(INDEX(SPLIT(M20,""/""),1))=VALUE(INDEX(SPLIT(M20,""/""),2)),
  VALUE(INDEX(SPLIT(P20,""/""),1))=VALUE(INDEX(SPLIT(P20,""/""),2))
)
"),FALSE)</f>
        <v>0</v>
      </c>
      <c r="T20" s="4">
        <f>IFERROR(__xludf.DUMMYFUNCTION(" (VALUE(INDEX(SPLIT(J20,""/""),2))-VALUE(INDEX(SPLIT(J20,""/""),1)))
+ (VALUE(INDEX(SPLIT(M20,""/""),2))-VALUE(INDEX(SPLIT(M20,""/""),1)))
+ (VALUE(INDEX(SPLIT(P20,""/""),2))-VALUE(INDEX(SPLIT(P20,""/""),1)))
"),1.0)</f>
        <v>1</v>
      </c>
      <c r="U20" s="4" t="s">
        <v>355</v>
      </c>
      <c r="V20" s="4" t="s">
        <v>356</v>
      </c>
      <c r="W20" s="4" t="s">
        <v>357</v>
      </c>
      <c r="X20" s="4" t="s">
        <v>358</v>
      </c>
    </row>
    <row r="21" ht="16.5" customHeight="1">
      <c r="A21" s="31"/>
      <c r="B21" s="32" t="str">
        <f>IFERROR(
"DOM  M["&amp;VLOOKUP($A20,Projects!$A:$L,4,FALSE)&amp;"] S["&amp;VLOOKUP($A20,Projects!$A:$L,5,FALSE)&amp;"] C["&amp;VLOOKUP($A20,Projects!$A:$L,6,FALSE)&amp;"]"&amp;CHAR(10)&amp;
"ECO  M["&amp;VLOOKUP($A20,Projects!$A:$L,7,FALSE)&amp;"] S["&amp;VLOOKUP($A20,Projects!$A:$L,8,FALSE)&amp;"] C["&amp;VLOOKUP($A20,Projects!$A:$L,9,FALSE)&amp;"]"&amp;CHAR(10)&amp;
"LING M["&amp;VLOOKUP($A20,Projects!$A:$L,10,FALSE)&amp;"] S["&amp;VLOOKUP($A20,Projects!$A:$L,11,FALSE)&amp;"] C["&amp;VLOOKUP($A20,Projects!$A:$L,12,FALSE)&amp;"]"
,"")
</f>
        <v>DOM  M[Web] S[Cloud] C[Desktop]
ECO  M[MongoDB] S[Angular, React] C[AWS Lambda]
LING M[JavaScript] S[TypeScript, Python] C[Java, C#]</v>
      </c>
      <c r="C21" s="4" t="s">
        <v>359</v>
      </c>
      <c r="D21" s="4" t="s">
        <v>62</v>
      </c>
      <c r="E21" s="4" t="s">
        <v>28</v>
      </c>
      <c r="F21" s="4" t="s">
        <v>81</v>
      </c>
      <c r="G21" s="4" t="s">
        <v>85</v>
      </c>
      <c r="H21" s="4">
        <v>3.0</v>
      </c>
      <c r="I21" s="4" t="s">
        <v>360</v>
      </c>
      <c r="J21" s="4" t="str">
        <f>IFERROR(__xludf.DUMMYFUNCTION("IFERROR(REGEXEXTRACT($I21,""DOM\s*M\((\d+/\d+)\)""),"""")
"),"1/1")</f>
        <v>1/1</v>
      </c>
      <c r="K21" s="4" t="str">
        <f>IFERROR(__xludf.DUMMYFUNCTION("IFERROR(REGEXEXTRACT($I21,""DOM.*?S\((\d+/\d+)\)""),"""")
"),"0/1")</f>
        <v>0/1</v>
      </c>
      <c r="L21" s="4" t="str">
        <f>IFERROR(__xludf.DUMMYFUNCTION("IFERROR(REGEXEXTRACT($I21,""DOM.*?C\((\d+/\d+)\)""),"""")
"),"0/1")</f>
        <v>0/1</v>
      </c>
      <c r="M21" s="4" t="str">
        <f>IFERROR(__xludf.DUMMYFUNCTION("IFERROR(REGEXEXTRACT($I21,""ECO\s*M\((\d+/\d+)\)""),"""")
"),"0/1")</f>
        <v>0/1</v>
      </c>
      <c r="N21" s="4" t="str">
        <f>IFERROR(__xludf.DUMMYFUNCTION("IFERROR(REGEXEXTRACT($I21,""ECO.*?S\((\d+/\d+)\)""),"""")
"),"1/2")</f>
        <v>1/2</v>
      </c>
      <c r="O21" s="4" t="str">
        <f>IFERROR(__xludf.DUMMYFUNCTION("IFERROR(REGEXEXTRACT($I21,""ECO.*?C\((\d+/\d+)\)""),"""")
"),"0/1")</f>
        <v>0/1</v>
      </c>
      <c r="P21" s="4" t="str">
        <f>IFERROR(__xludf.DUMMYFUNCTION("IFERROR(REGEXEXTRACT($I21,""LING\s*M\((\d+/\d+)\)""),"""")
"),"1/1")</f>
        <v>1/1</v>
      </c>
      <c r="Q21" s="4" t="str">
        <f>IFERROR(__xludf.DUMMYFUNCTION("IFERROR(REGEXEXTRACT($I21,""LING.*?S\((\d+/\d+)\)""),"""")
"),"0/2")</f>
        <v>0/2</v>
      </c>
      <c r="R21" s="4" t="str">
        <f>IFERROR(__xludf.DUMMYFUNCTION("IFERROR(REGEXEXTRACT($I21,""LING[^|]*C\(([0-9]+/[0-9]+)\)""),"""")
"),"0/2")</f>
        <v>0/2</v>
      </c>
      <c r="S21" s="4" t="b">
        <f>IFERROR(__xludf.DUMMYFUNCTION("AND(
  VALUE(INDEX(SPLIT(J21,""/""),1))=VALUE(INDEX(SPLIT(J21,""/""),2)),
  VALUE(INDEX(SPLIT(M21,""/""),1))=VALUE(INDEX(SPLIT(M21,""/""),2)),
  VALUE(INDEX(SPLIT(P21,""/""),1))=VALUE(INDEX(SPLIT(P21,""/""),2))
)
"),FALSE)</f>
        <v>0</v>
      </c>
      <c r="T21" s="4">
        <f>IFERROR(__xludf.DUMMYFUNCTION(" (VALUE(INDEX(SPLIT(J21,""/""),2))-VALUE(INDEX(SPLIT(J21,""/""),1)))
+ (VALUE(INDEX(SPLIT(M21,""/""),2))-VALUE(INDEX(SPLIT(M21,""/""),1)))
+ (VALUE(INDEX(SPLIT(P21,""/""),2))-VALUE(INDEX(SPLIT(P21,""/""),1)))
"),1.0)</f>
        <v>1</v>
      </c>
      <c r="U21" s="4" t="s">
        <v>361</v>
      </c>
      <c r="V21" s="4" t="s">
        <v>362</v>
      </c>
      <c r="W21" s="4" t="s">
        <v>363</v>
      </c>
      <c r="X21" s="4" t="s">
        <v>364</v>
      </c>
    </row>
    <row r="22" ht="16.5" customHeight="1">
      <c r="A22" s="31"/>
      <c r="C22" s="4" t="s">
        <v>365</v>
      </c>
      <c r="D22" s="4" t="s">
        <v>70</v>
      </c>
      <c r="E22" s="4" t="s">
        <v>74</v>
      </c>
      <c r="F22" s="4" t="s">
        <v>11</v>
      </c>
      <c r="G22" s="4" t="s">
        <v>65</v>
      </c>
      <c r="H22" s="4">
        <v>1.0</v>
      </c>
      <c r="I22" s="4" t="s">
        <v>366</v>
      </c>
      <c r="J22" s="4" t="str">
        <f>IFERROR(__xludf.DUMMYFUNCTION("IFERROR(REGEXEXTRACT($I22,""DOM\s*M\((\d+/\d+)\)""),"""")
"),"1/1")</f>
        <v>1/1</v>
      </c>
      <c r="K22" s="4" t="str">
        <f>IFERROR(__xludf.DUMMYFUNCTION("IFERROR(REGEXEXTRACT($I22,""DOM.*?S\((\d+/\d+)\)""),"""")
"),"1/1")</f>
        <v>1/1</v>
      </c>
      <c r="L22" s="4" t="str">
        <f>IFERROR(__xludf.DUMMYFUNCTION("IFERROR(REGEXEXTRACT($I22,""DOM.*?C\((\d+/\d+)\)""),"""")
"),"0/1")</f>
        <v>0/1</v>
      </c>
      <c r="M22" s="4" t="str">
        <f>IFERROR(__xludf.DUMMYFUNCTION("IFERROR(REGEXEXTRACT($I22,""ECO\s*M\((\d+/\d+)\)""),"""")
"),"0/1")</f>
        <v>0/1</v>
      </c>
      <c r="N22" s="4" t="str">
        <f>IFERROR(__xludf.DUMMYFUNCTION("IFERROR(REGEXEXTRACT($I22,""ECO.*?S\((\d+/\d+)\)""),"""")
"),"1/2")</f>
        <v>1/2</v>
      </c>
      <c r="O22" s="4" t="str">
        <f>IFERROR(__xludf.DUMMYFUNCTION("IFERROR(REGEXEXTRACT($I22,""ECO.*?C\((\d+/\d+)\)""),"""")
"),"1/1")</f>
        <v>1/1</v>
      </c>
      <c r="P22" s="4" t="str">
        <f>IFERROR(__xludf.DUMMYFUNCTION("IFERROR(REGEXEXTRACT($I22,""LING\s*M\((\d+/\d+)\)""),"""")
"),"1/1")</f>
        <v>1/1</v>
      </c>
      <c r="Q22" s="4" t="str">
        <f>IFERROR(__xludf.DUMMYFUNCTION("IFERROR(REGEXEXTRACT($I22,""LING.*?S\((\d+/\d+)\)""),"""")
"),"1/2")</f>
        <v>1/2</v>
      </c>
      <c r="R22" s="4" t="str">
        <f>IFERROR(__xludf.DUMMYFUNCTION("IFERROR(REGEXEXTRACT($I22,""LING[^|]*C\(([0-9]+/[0-9]+)\)""),"""")
"),"1/2")</f>
        <v>1/2</v>
      </c>
      <c r="S22" s="4" t="b">
        <f>IFERROR(__xludf.DUMMYFUNCTION("AND(
  VALUE(INDEX(SPLIT(J22,""/""),1))=VALUE(INDEX(SPLIT(J22,""/""),2)),
  VALUE(INDEX(SPLIT(M22,""/""),1))=VALUE(INDEX(SPLIT(M22,""/""),2)),
  VALUE(INDEX(SPLIT(P22,""/""),1))=VALUE(INDEX(SPLIT(P22,""/""),2))
)
"),FALSE)</f>
        <v>0</v>
      </c>
      <c r="T22" s="4">
        <f>IFERROR(__xludf.DUMMYFUNCTION(" (VALUE(INDEX(SPLIT(J22,""/""),2))-VALUE(INDEX(SPLIT(J22,""/""),1)))
+ (VALUE(INDEX(SPLIT(M22,""/""),2))-VALUE(INDEX(SPLIT(M22,""/""),1)))
+ (VALUE(INDEX(SPLIT(P22,""/""),2))-VALUE(INDEX(SPLIT(P22,""/""),1)))
"),1.0)</f>
        <v>1</v>
      </c>
      <c r="U22" s="4" t="s">
        <v>367</v>
      </c>
      <c r="V22" s="4" t="s">
        <v>368</v>
      </c>
      <c r="W22" s="4" t="s">
        <v>369</v>
      </c>
      <c r="X22" s="4" t="s">
        <v>370</v>
      </c>
    </row>
    <row r="23" ht="17.25" customHeight="1">
      <c r="A23" s="31"/>
      <c r="C23" s="4" t="s">
        <v>371</v>
      </c>
      <c r="D23" s="4" t="s">
        <v>120</v>
      </c>
      <c r="E23" s="4" t="s">
        <v>88</v>
      </c>
      <c r="F23" s="4" t="s">
        <v>48</v>
      </c>
      <c r="G23" s="4" t="s">
        <v>95</v>
      </c>
      <c r="H23" s="4">
        <v>3.0</v>
      </c>
      <c r="I23" s="4" t="s">
        <v>372</v>
      </c>
      <c r="J23" s="4" t="str">
        <f>IFERROR(__xludf.DUMMYFUNCTION("IFERROR(REGEXEXTRACT($I23,""DOM\s*M\((\d+/\d+)\)""),"""")
"),"1/1")</f>
        <v>1/1</v>
      </c>
      <c r="K23" s="4" t="str">
        <f>IFERROR(__xludf.DUMMYFUNCTION("IFERROR(REGEXEXTRACT($I23,""DOM.*?S\((\d+/\d+)\)""),"""")
"),"1/1")</f>
        <v>1/1</v>
      </c>
      <c r="L23" s="4" t="str">
        <f>IFERROR(__xludf.DUMMYFUNCTION("IFERROR(REGEXEXTRACT($I23,""DOM.*?C\((\d+/\d+)\)""),"""")
"),"0/1")</f>
        <v>0/1</v>
      </c>
      <c r="M23" s="4" t="str">
        <f>IFERROR(__xludf.DUMMYFUNCTION("IFERROR(REGEXEXTRACT($I23,""ECO\s*M\((\d+/\d+)\)""),"""")
"),"0/1")</f>
        <v>0/1</v>
      </c>
      <c r="N23" s="4" t="str">
        <f>IFERROR(__xludf.DUMMYFUNCTION("IFERROR(REGEXEXTRACT($I23,""ECO.*?S\((\d+/\d+)\)""),"""")
"),"1/2")</f>
        <v>1/2</v>
      </c>
      <c r="O23" s="4" t="str">
        <f>IFERROR(__xludf.DUMMYFUNCTION("IFERROR(REGEXEXTRACT($I23,""ECO.*?C\((\d+/\d+)\)""),"""")
"),"1/1")</f>
        <v>1/1</v>
      </c>
      <c r="P23" s="4" t="str">
        <f>IFERROR(__xludf.DUMMYFUNCTION("IFERROR(REGEXEXTRACT($I23,""LING\s*M\((\d+/\d+)\)""),"""")
"),"0/1")</f>
        <v>0/1</v>
      </c>
      <c r="Q23" s="4" t="str">
        <f>IFERROR(__xludf.DUMMYFUNCTION("IFERROR(REGEXEXTRACT($I23,""LING.*?S\((\d+/\d+)\)""),"""")
"),"2/2")</f>
        <v>2/2</v>
      </c>
      <c r="R23" s="4" t="str">
        <f>IFERROR(__xludf.DUMMYFUNCTION("IFERROR(REGEXEXTRACT($I23,""LING[^|]*C\(([0-9]+/[0-9]+)\)""),"""")
"),"0/2")</f>
        <v>0/2</v>
      </c>
      <c r="S23" s="4" t="b">
        <f>IFERROR(__xludf.DUMMYFUNCTION("AND(
  VALUE(INDEX(SPLIT(J23,""/""),1))=VALUE(INDEX(SPLIT(J23,""/""),2)),
  VALUE(INDEX(SPLIT(M23,""/""),1))=VALUE(INDEX(SPLIT(M23,""/""),2)),
  VALUE(INDEX(SPLIT(P23,""/""),1))=VALUE(INDEX(SPLIT(P23,""/""),2))
)
"),FALSE)</f>
        <v>0</v>
      </c>
      <c r="T23" s="4">
        <f>IFERROR(__xludf.DUMMYFUNCTION(" (VALUE(INDEX(SPLIT(J23,""/""),2))-VALUE(INDEX(SPLIT(J23,""/""),1)))
+ (VALUE(INDEX(SPLIT(M23,""/""),2))-VALUE(INDEX(SPLIT(M23,""/""),1)))
+ (VALUE(INDEX(SPLIT(P23,""/""),2))-VALUE(INDEX(SPLIT(P23,""/""),1)))
"),2.0)</f>
        <v>2</v>
      </c>
      <c r="U23" s="4" t="s">
        <v>373</v>
      </c>
      <c r="V23" s="4" t="s">
        <v>374</v>
      </c>
      <c r="W23" s="4" t="s">
        <v>375</v>
      </c>
      <c r="X23" s="4" t="s">
        <v>376</v>
      </c>
    </row>
    <row r="24" ht="15.75" customHeight="1">
      <c r="A24" s="33"/>
      <c r="B24" s="34"/>
      <c r="C24" s="4" t="s">
        <v>377</v>
      </c>
      <c r="D24" s="35" t="s">
        <v>76</v>
      </c>
      <c r="E24" s="35" t="s">
        <v>116</v>
      </c>
      <c r="F24" s="35" t="s">
        <v>31</v>
      </c>
      <c r="G24" s="35" t="s">
        <v>152</v>
      </c>
      <c r="H24" s="35">
        <v>4.0</v>
      </c>
      <c r="I24" s="4" t="s">
        <v>378</v>
      </c>
      <c r="J24" s="4" t="str">
        <f>IFERROR(__xludf.DUMMYFUNCTION("IFERROR(REGEXEXTRACT($I24,""DOM\s*M\((\d+/\d+)\)""),"""")
"),"1/1")</f>
        <v>1/1</v>
      </c>
      <c r="K24" s="4" t="str">
        <f>IFERROR(__xludf.DUMMYFUNCTION("IFERROR(REGEXEXTRACT($I24,""DOM.*?S\((\d+/\d+)\)""),"""")
"),"0/1")</f>
        <v>0/1</v>
      </c>
      <c r="L24" s="4" t="str">
        <f>IFERROR(__xludf.DUMMYFUNCTION("IFERROR(REGEXEXTRACT($I24,""DOM.*?C\((\d+/\d+)\)""),"""")
"),"0/1")</f>
        <v>0/1</v>
      </c>
      <c r="M24" s="4" t="str">
        <f>IFERROR(__xludf.DUMMYFUNCTION("IFERROR(REGEXEXTRACT($I24,""ECO\s*M\((\d+/\d+)\)""),"""")
"),"1/1")</f>
        <v>1/1</v>
      </c>
      <c r="N24" s="4" t="str">
        <f>IFERROR(__xludf.DUMMYFUNCTION("IFERROR(REGEXEXTRACT($I24,""ECO.*?S\((\d+/\d+)\)""),"""")
"),"0/2")</f>
        <v>0/2</v>
      </c>
      <c r="O24" s="4" t="str">
        <f>IFERROR(__xludf.DUMMYFUNCTION("IFERROR(REGEXEXTRACT($I24,""ECO.*?C\((\d+/\d+)\)""),"""")
"),"0/1")</f>
        <v>0/1</v>
      </c>
      <c r="P24" s="4" t="str">
        <f>IFERROR(__xludf.DUMMYFUNCTION("IFERROR(REGEXEXTRACT($I24,""LING\s*M\((\d+/\d+)\)""),"""")
"),"1/1")</f>
        <v>1/1</v>
      </c>
      <c r="Q24" s="4" t="str">
        <f>IFERROR(__xludf.DUMMYFUNCTION("IFERROR(REGEXEXTRACT($I24,""LING.*?S\((\d+/\d+)\)""),"""")
"),"0/2")</f>
        <v>0/2</v>
      </c>
      <c r="R24" s="4" t="str">
        <f>IFERROR(__xludf.DUMMYFUNCTION("IFERROR(REGEXEXTRACT($I24,""LING[^|]*C\(([0-9]+/[0-9]+)\)""),"""")
"),"0/2")</f>
        <v>0/2</v>
      </c>
      <c r="S24" s="4" t="b">
        <f>IFERROR(__xludf.DUMMYFUNCTION("AND(
  VALUE(INDEX(SPLIT(J24,""/""),1))=VALUE(INDEX(SPLIT(J24,""/""),2)),
  VALUE(INDEX(SPLIT(M24,""/""),1))=VALUE(INDEX(SPLIT(M24,""/""),2)),
  VALUE(INDEX(SPLIT(P24,""/""),1))=VALUE(INDEX(SPLIT(P24,""/""),2))
)
"),TRUE)</f>
        <v>1</v>
      </c>
      <c r="T24" s="4">
        <f>IFERROR(__xludf.DUMMYFUNCTION(" (VALUE(INDEX(SPLIT(J24,""/""),2))-VALUE(INDEX(SPLIT(J24,""/""),1)))
+ (VALUE(INDEX(SPLIT(M24,""/""),2))-VALUE(INDEX(SPLIT(M24,""/""),1)))
+ (VALUE(INDEX(SPLIT(P24,""/""),2))-VALUE(INDEX(SPLIT(P24,""/""),1)))
"),0.0)</f>
        <v>0</v>
      </c>
      <c r="U24" s="4" t="s">
        <v>379</v>
      </c>
      <c r="V24" s="4" t="s">
        <v>380</v>
      </c>
      <c r="W24" s="4" t="s">
        <v>381</v>
      </c>
      <c r="X24" s="4" t="s">
        <v>382</v>
      </c>
    </row>
    <row r="25" ht="18.75" customHeight="1">
      <c r="A25" s="36"/>
      <c r="J25" s="4" t="str">
        <f>IFERROR(__xludf.DUMMYFUNCTION("IFERROR(REGEXEXTRACT($I25,""DOM\s*M\((\d+/\d+)\)""),"""")
"),"")</f>
        <v/>
      </c>
      <c r="K25" s="4" t="str">
        <f>IFERROR(__xludf.DUMMYFUNCTION("IFERROR(REGEXEXTRACT($I25,""DOM.*?S\((\d+/\d+)\)""),"""")
"),"")</f>
        <v/>
      </c>
      <c r="L25" s="4" t="str">
        <f>IFERROR(__xludf.DUMMYFUNCTION("IFERROR(REGEXEXTRACT($I25,""DOM.*?C\((\d+/\d+)\)""),"""")
"),"")</f>
        <v/>
      </c>
      <c r="M25" s="4" t="str">
        <f>IFERROR(__xludf.DUMMYFUNCTION("IFERROR(REGEXEXTRACT($I25,""ECO\s*M\((\d+/\d+)\)""),"""")
"),"")</f>
        <v/>
      </c>
      <c r="N25" s="4" t="str">
        <f>IFERROR(__xludf.DUMMYFUNCTION("IFERROR(REGEXEXTRACT($I25,""ECO.*?S\((\d+/\d+)\)""),"""")
"),"")</f>
        <v/>
      </c>
      <c r="O25" s="4" t="str">
        <f>IFERROR(__xludf.DUMMYFUNCTION("IFERROR(REGEXEXTRACT($I25,""ECO.*?C\((\d+/\d+)\)""),"""")
"),"")</f>
        <v/>
      </c>
      <c r="P25" s="4" t="str">
        <f>IFERROR(__xludf.DUMMYFUNCTION("IFERROR(REGEXEXTRACT($I25,""LING\s*M\((\d+/\d+)\)""),"""")
"),"")</f>
        <v/>
      </c>
      <c r="Q25" s="4" t="str">
        <f>IFERROR(__xludf.DUMMYFUNCTION("IFERROR(REGEXEXTRACT($I25,""LING.*?S\((\d+/\d+)\)""),"""")
"),"")</f>
        <v/>
      </c>
      <c r="R25" s="4" t="str">
        <f>IFERROR(__xludf.DUMMYFUNCTION("IFERROR(REGEXEXTRACT($I25,""LING[^|]*C\(([0-9]+/[0-9]+)\)""),"""")
"),"")</f>
        <v/>
      </c>
    </row>
    <row r="26" ht="18.75" customHeight="1">
      <c r="A26" s="28" t="s">
        <v>227</v>
      </c>
      <c r="B26" s="29" t="str">
        <f>IFERROR(VLOOKUP(A26,Projects!$A$2:$C$7,2,FALSE),"")
</f>
        <v>Critical Web + Cloud Platform</v>
      </c>
      <c r="C26" s="4" t="s">
        <v>383</v>
      </c>
      <c r="D26" s="30" t="s">
        <v>67</v>
      </c>
      <c r="E26" s="30" t="s">
        <v>87</v>
      </c>
      <c r="F26" s="30" t="s">
        <v>143</v>
      </c>
      <c r="G26" s="30" t="s">
        <v>66</v>
      </c>
      <c r="H26" s="30">
        <v>5.0</v>
      </c>
      <c r="I26" s="4" t="s">
        <v>384</v>
      </c>
      <c r="J26" s="4" t="str">
        <f>IFERROR(__xludf.DUMMYFUNCTION("IFERROR(REGEXEXTRACT($I26,""DOM\s*M\((\d+/\d+)\)""),"""")
"),"1/2")</f>
        <v>1/2</v>
      </c>
      <c r="K26" s="4" t="str">
        <f>IFERROR(__xludf.DUMMYFUNCTION("IFERROR(REGEXEXTRACT($I26,""DOM.*?S\((\d+/\d+)\)""),"""")
"),"0/1")</f>
        <v>0/1</v>
      </c>
      <c r="L26" s="4" t="str">
        <f>IFERROR(__xludf.DUMMYFUNCTION("IFERROR(REGEXEXTRACT($I26,""DOM.*?C\((\d+/\d+)\)""),"""")
"),"1/1")</f>
        <v>1/1</v>
      </c>
      <c r="M26" s="4" t="str">
        <f>IFERROR(__xludf.DUMMYFUNCTION("IFERROR(REGEXEXTRACT($I26,""ECO\s*M\((\d+/\d+)\)""),"""")
"),"1/3")</f>
        <v>1/3</v>
      </c>
      <c r="N26" s="4" t="str">
        <f>IFERROR(__xludf.DUMMYFUNCTION("IFERROR(REGEXEXTRACT($I26,""ECO.*?S\((\d+/\d+)\)""),"""")
"),"1/1")</f>
        <v>1/1</v>
      </c>
      <c r="O26" s="4" t="str">
        <f>IFERROR(__xludf.DUMMYFUNCTION("IFERROR(REGEXEXTRACT($I26,""ECO.*?C\((\d+/\d+)\)""),"""")
"),"0/1")</f>
        <v>0/1</v>
      </c>
      <c r="P26" s="4" t="str">
        <f>IFERROR(__xludf.DUMMYFUNCTION("IFERROR(REGEXEXTRACT($I26,""LING\s*M\((\d+/\d+)\)""),"""")
"),"1/3")</f>
        <v>1/3</v>
      </c>
      <c r="Q26" s="4" t="str">
        <f>IFERROR(__xludf.DUMMYFUNCTION("IFERROR(REGEXEXTRACT($I26,""LING.*?S\((\d+/\d+)\)""),"""")
"),"2/2")</f>
        <v>2/2</v>
      </c>
      <c r="R26" s="4" t="str">
        <f>IFERROR(__xludf.DUMMYFUNCTION("IFERROR(REGEXEXTRACT($I26,""LING[^|]*C\(([0-9]+/[0-9]+)\)""),"""")
"),"0/2")</f>
        <v>0/2</v>
      </c>
      <c r="S26" s="4" t="b">
        <f>IFERROR(__xludf.DUMMYFUNCTION("AND(
  VALUE(INDEX(SPLIT(J26,""/""),1))=VALUE(INDEX(SPLIT(J26,""/""),2)),
  VALUE(INDEX(SPLIT(M26,""/""),1))=VALUE(INDEX(SPLIT(M26,""/""),2)),
  VALUE(INDEX(SPLIT(P26,""/""),1))=VALUE(INDEX(SPLIT(P26,""/""),2))
)
"),FALSE)</f>
        <v>0</v>
      </c>
      <c r="T26" s="4">
        <f>IFERROR(__xludf.DUMMYFUNCTION(" (VALUE(INDEX(SPLIT(J26,""/""),2))-VALUE(INDEX(SPLIT(J26,""/""),1)))
+ (VALUE(INDEX(SPLIT(M26,""/""),2))-VALUE(INDEX(SPLIT(M26,""/""),1)))
+ (VALUE(INDEX(SPLIT(P26,""/""),2))-VALUE(INDEX(SPLIT(P26,""/""),1)))
"),5.0)</f>
        <v>5</v>
      </c>
      <c r="U26" s="4" t="s">
        <v>385</v>
      </c>
      <c r="V26" s="4" t="s">
        <v>386</v>
      </c>
      <c r="W26" s="4" t="s">
        <v>387</v>
      </c>
      <c r="X26" s="4" t="s">
        <v>388</v>
      </c>
    </row>
    <row r="27" ht="17.25" customHeight="1">
      <c r="A27" s="31"/>
      <c r="B27" s="37" t="s">
        <v>389</v>
      </c>
      <c r="C27" s="4" t="s">
        <v>390</v>
      </c>
      <c r="D27" s="4" t="s">
        <v>120</v>
      </c>
      <c r="E27" s="4" t="s">
        <v>150</v>
      </c>
      <c r="F27" s="4" t="s">
        <v>127</v>
      </c>
      <c r="G27" s="4" t="s">
        <v>97</v>
      </c>
      <c r="H27" s="4">
        <v>2.0</v>
      </c>
      <c r="I27" s="4" t="s">
        <v>391</v>
      </c>
      <c r="J27" s="4" t="str">
        <f>IFERROR(__xludf.DUMMYFUNCTION("IFERROR(REGEXEXTRACT($I27,""DOM\s*M\((\d+/\d+)\)""),"""")
"),"2/2")</f>
        <v>2/2</v>
      </c>
      <c r="K27" s="4" t="str">
        <f>IFERROR(__xludf.DUMMYFUNCTION("IFERROR(REGEXEXTRACT($I27,""DOM.*?S\((\d+/\d+)\)""),"""")
"),"1/1")</f>
        <v>1/1</v>
      </c>
      <c r="L27" s="4" t="str">
        <f>IFERROR(__xludf.DUMMYFUNCTION("IFERROR(REGEXEXTRACT($I27,""DOM.*?C\((\d+/\d+)\)""),"""")
"),"0/1")</f>
        <v>0/1</v>
      </c>
      <c r="M27" s="4" t="str">
        <f>IFERROR(__xludf.DUMMYFUNCTION("IFERROR(REGEXEXTRACT($I27,""ECO\s*M\((\d+/\d+)\)""),"""")
"),"2/3")</f>
        <v>2/3</v>
      </c>
      <c r="N27" s="4" t="str">
        <f>IFERROR(__xludf.DUMMYFUNCTION("IFERROR(REGEXEXTRACT($I27,""ECO.*?S\((\d+/\d+)\)""),"""")
"),"0/1")</f>
        <v>0/1</v>
      </c>
      <c r="O27" s="4" t="str">
        <f>IFERROR(__xludf.DUMMYFUNCTION("IFERROR(REGEXEXTRACT($I27,""ECO.*?C\((\d+/\d+)\)""),"""")
"),"1/1")</f>
        <v>1/1</v>
      </c>
      <c r="P27" s="4" t="str">
        <f>IFERROR(__xludf.DUMMYFUNCTION("IFERROR(REGEXEXTRACT($I27,""LING\s*M\((\d+/\d+)\)""),"""")
"),"2/3")</f>
        <v>2/3</v>
      </c>
      <c r="Q27" s="4" t="str">
        <f>IFERROR(__xludf.DUMMYFUNCTION("IFERROR(REGEXEXTRACT($I27,""LING.*?S\((\d+/\d+)\)""),"""")
"),"0/2")</f>
        <v>0/2</v>
      </c>
      <c r="R27" s="4" t="str">
        <f>IFERROR(__xludf.DUMMYFUNCTION("IFERROR(REGEXEXTRACT($I27,""LING[^|]*C\(([0-9]+/[0-9]+)\)""),"""")
"),"1/2")</f>
        <v>1/2</v>
      </c>
      <c r="S27" s="4" t="b">
        <f>IFERROR(__xludf.DUMMYFUNCTION("AND(
  VALUE(INDEX(SPLIT(J27,""/""),1))=VALUE(INDEX(SPLIT(J27,""/""),2)),
  VALUE(INDEX(SPLIT(M27,""/""),1))=VALUE(INDEX(SPLIT(M27,""/""),2)),
  VALUE(INDEX(SPLIT(P27,""/""),1))=VALUE(INDEX(SPLIT(P27,""/""),2))
)
"),FALSE)</f>
        <v>0</v>
      </c>
      <c r="T27" s="4">
        <f>IFERROR(__xludf.DUMMYFUNCTION(" (VALUE(INDEX(SPLIT(J27,""/""),2))-VALUE(INDEX(SPLIT(J27,""/""),1)))
+ (VALUE(INDEX(SPLIT(M27,""/""),2))-VALUE(INDEX(SPLIT(M27,""/""),1)))
+ (VALUE(INDEX(SPLIT(P27,""/""),2))-VALUE(INDEX(SPLIT(P27,""/""),1)))
"),2.0)</f>
        <v>2</v>
      </c>
      <c r="U27" s="4" t="s">
        <v>392</v>
      </c>
      <c r="V27" s="4" t="s">
        <v>393</v>
      </c>
      <c r="W27" s="4" t="s">
        <v>394</v>
      </c>
      <c r="X27" s="4" t="s">
        <v>395</v>
      </c>
    </row>
    <row r="28" ht="17.25" customHeight="1">
      <c r="A28" s="31"/>
      <c r="C28" s="4" t="s">
        <v>396</v>
      </c>
      <c r="D28" s="4" t="s">
        <v>101</v>
      </c>
      <c r="E28" s="4" t="s">
        <v>122</v>
      </c>
      <c r="F28" s="4" t="s">
        <v>109</v>
      </c>
      <c r="G28" s="4" t="s">
        <v>84</v>
      </c>
      <c r="H28" s="4">
        <v>3.0</v>
      </c>
      <c r="I28" s="4" t="s">
        <v>397</v>
      </c>
      <c r="J28" s="4" t="str">
        <f>IFERROR(__xludf.DUMMYFUNCTION("IFERROR(REGEXEXTRACT($I28,""DOM\s*M\((\d+/\d+)\)""),"""")
"),"2/2")</f>
        <v>2/2</v>
      </c>
      <c r="K28" s="4" t="str">
        <f>IFERROR(__xludf.DUMMYFUNCTION("IFERROR(REGEXEXTRACT($I28,""DOM.*?S\((\d+/\d+)\)""),"""")
"),"1/1")</f>
        <v>1/1</v>
      </c>
      <c r="L28" s="4" t="str">
        <f>IFERROR(__xludf.DUMMYFUNCTION("IFERROR(REGEXEXTRACT($I28,""DOM.*?C\((\d+/\d+)\)""),"""")
"),"0/1")</f>
        <v>0/1</v>
      </c>
      <c r="M28" s="4" t="str">
        <f>IFERROR(__xludf.DUMMYFUNCTION("IFERROR(REGEXEXTRACT($I28,""ECO\s*M\((\d+/\d+)\)""),"""")
"),"2/3")</f>
        <v>2/3</v>
      </c>
      <c r="N28" s="4" t="str">
        <f>IFERROR(__xludf.DUMMYFUNCTION("IFERROR(REGEXEXTRACT($I28,""ECO.*?S\((\d+/\d+)\)""),"""")
"),"0/1")</f>
        <v>0/1</v>
      </c>
      <c r="O28" s="4" t="str">
        <f>IFERROR(__xludf.DUMMYFUNCTION("IFERROR(REGEXEXTRACT($I28,""ECO.*?C\((\d+/\d+)\)""),"""")
"),"1/1")</f>
        <v>1/1</v>
      </c>
      <c r="P28" s="4" t="str">
        <f>IFERROR(__xludf.DUMMYFUNCTION("IFERROR(REGEXEXTRACT($I28,""LING\s*M\((\d+/\d+)\)""),"""")
"),"2/3")</f>
        <v>2/3</v>
      </c>
      <c r="Q28" s="4" t="str">
        <f>IFERROR(__xludf.DUMMYFUNCTION("IFERROR(REGEXEXTRACT($I28,""LING.*?S\((\d+/\d+)\)""),"""")
"),"0/2")</f>
        <v>0/2</v>
      </c>
      <c r="R28" s="4" t="str">
        <f>IFERROR(__xludf.DUMMYFUNCTION("IFERROR(REGEXEXTRACT($I28,""LING[^|]*C\(([0-9]+/[0-9]+)\)""),"""")
"),"2/2")</f>
        <v>2/2</v>
      </c>
      <c r="S28" s="4" t="b">
        <f>IFERROR(__xludf.DUMMYFUNCTION("AND(
  VALUE(INDEX(SPLIT(J28,""/""),1))=VALUE(INDEX(SPLIT(J28,""/""),2)),
  VALUE(INDEX(SPLIT(M28,""/""),1))=VALUE(INDEX(SPLIT(M28,""/""),2)),
  VALUE(INDEX(SPLIT(P28,""/""),1))=VALUE(INDEX(SPLIT(P28,""/""),2))
)
"),FALSE)</f>
        <v>0</v>
      </c>
      <c r="T28" s="4">
        <f>IFERROR(__xludf.DUMMYFUNCTION(" (VALUE(INDEX(SPLIT(J28,""/""),2))-VALUE(INDEX(SPLIT(J28,""/""),1)))
+ (VALUE(INDEX(SPLIT(M28,""/""),2))-VALUE(INDEX(SPLIT(M28,""/""),1)))
+ (VALUE(INDEX(SPLIT(P28,""/""),2))-VALUE(INDEX(SPLIT(P28,""/""),1)))
"),2.0)</f>
        <v>2</v>
      </c>
      <c r="U28" s="4" t="s">
        <v>398</v>
      </c>
      <c r="V28" s="4" t="s">
        <v>399</v>
      </c>
      <c r="W28" s="4" t="s">
        <v>400</v>
      </c>
      <c r="X28" s="4" t="s">
        <v>401</v>
      </c>
    </row>
    <row r="29" ht="18.75" customHeight="1">
      <c r="A29" s="31"/>
      <c r="C29" s="4" t="s">
        <v>402</v>
      </c>
      <c r="D29" s="4" t="s">
        <v>104</v>
      </c>
      <c r="E29" s="4" t="s">
        <v>26</v>
      </c>
      <c r="F29" s="4" t="s">
        <v>68</v>
      </c>
      <c r="G29" s="4" t="s">
        <v>134</v>
      </c>
      <c r="H29" s="4">
        <v>2.0</v>
      </c>
      <c r="I29" s="4" t="s">
        <v>403</v>
      </c>
      <c r="J29" s="4" t="str">
        <f>IFERROR(__xludf.DUMMYFUNCTION("IFERROR(REGEXEXTRACT($I29,""DOM\s*M\((\d+/\d+)\)""),"""")
"),"1/2")</f>
        <v>1/2</v>
      </c>
      <c r="K29" s="4" t="str">
        <f>IFERROR(__xludf.DUMMYFUNCTION("IFERROR(REGEXEXTRACT($I29,""DOM.*?S\((\d+/\d+)\)""),"""")
"),"1/1")</f>
        <v>1/1</v>
      </c>
      <c r="L29" s="4" t="str">
        <f>IFERROR(__xludf.DUMMYFUNCTION("IFERROR(REGEXEXTRACT($I29,""DOM.*?C\((\d+/\d+)\)""),"""")
"),"0/1")</f>
        <v>0/1</v>
      </c>
      <c r="M29" s="4" t="str">
        <f>IFERROR(__xludf.DUMMYFUNCTION("IFERROR(REGEXEXTRACT($I29,""ECO\s*M\((\d+/\d+)\)""),"""")
"),"1/3")</f>
        <v>1/3</v>
      </c>
      <c r="N29" s="4" t="str">
        <f>IFERROR(__xludf.DUMMYFUNCTION("IFERROR(REGEXEXTRACT($I29,""ECO.*?S\((\d+/\d+)\)""),"""")
"),"0/1")</f>
        <v>0/1</v>
      </c>
      <c r="O29" s="4" t="str">
        <f>IFERROR(__xludf.DUMMYFUNCTION("IFERROR(REGEXEXTRACT($I29,""ECO.*?C\((\d+/\d+)\)""),"""")
"),"1/1")</f>
        <v>1/1</v>
      </c>
      <c r="P29" s="4" t="str">
        <f>IFERROR(__xludf.DUMMYFUNCTION("IFERROR(REGEXEXTRACT($I29,""LING\s*M\((\d+/\d+)\)""),"""")
"),"1/3")</f>
        <v>1/3</v>
      </c>
      <c r="Q29" s="4" t="str">
        <f>IFERROR(__xludf.DUMMYFUNCTION("IFERROR(REGEXEXTRACT($I29,""LING.*?S\((\d+/\d+)\)""),"""")
"),"0/2")</f>
        <v>0/2</v>
      </c>
      <c r="R29" s="4" t="str">
        <f>IFERROR(__xludf.DUMMYFUNCTION("IFERROR(REGEXEXTRACT($I29,""LING[^|]*C\(([0-9]+/[0-9]+)\)""),"""")
"),"2/2")</f>
        <v>2/2</v>
      </c>
      <c r="S29" s="4" t="b">
        <f>IFERROR(__xludf.DUMMYFUNCTION("AND(
  VALUE(INDEX(SPLIT(J29,""/""),1))=VALUE(INDEX(SPLIT(J29,""/""),2)),
  VALUE(INDEX(SPLIT(M29,""/""),1))=VALUE(INDEX(SPLIT(M29,""/""),2)),
  VALUE(INDEX(SPLIT(P29,""/""),1))=VALUE(INDEX(SPLIT(P29,""/""),2))
)
"),FALSE)</f>
        <v>0</v>
      </c>
      <c r="T29" s="4">
        <f>IFERROR(__xludf.DUMMYFUNCTION(" (VALUE(INDEX(SPLIT(J29,""/""),2))-VALUE(INDEX(SPLIT(J29,""/""),1)))
+ (VALUE(INDEX(SPLIT(M29,""/""),2))-VALUE(INDEX(SPLIT(M29,""/""),1)))
+ (VALUE(INDEX(SPLIT(P29,""/""),2))-VALUE(INDEX(SPLIT(P29,""/""),1)))
"),5.0)</f>
        <v>5</v>
      </c>
      <c r="U29" s="4" t="s">
        <v>404</v>
      </c>
      <c r="V29" s="4" t="s">
        <v>405</v>
      </c>
      <c r="W29" s="4" t="s">
        <v>406</v>
      </c>
      <c r="X29" s="4" t="s">
        <v>407</v>
      </c>
    </row>
    <row r="30" ht="18.75" customHeight="1">
      <c r="A30" s="33"/>
      <c r="B30" s="34"/>
      <c r="C30" s="4" t="s">
        <v>408</v>
      </c>
      <c r="D30" s="35" t="s">
        <v>132</v>
      </c>
      <c r="E30" s="35" t="s">
        <v>111</v>
      </c>
      <c r="F30" s="35" t="s">
        <v>105</v>
      </c>
      <c r="G30" s="35" t="s">
        <v>100</v>
      </c>
      <c r="H30" s="35">
        <v>4.0</v>
      </c>
      <c r="I30" s="4" t="s">
        <v>409</v>
      </c>
      <c r="J30" s="4" t="str">
        <f>IFERROR(__xludf.DUMMYFUNCTION("IFERROR(REGEXEXTRACT($I30,""DOM\s*M\((\d+/\d+)\)""),"""")
"),"1/2")</f>
        <v>1/2</v>
      </c>
      <c r="K30" s="4" t="str">
        <f>IFERROR(__xludf.DUMMYFUNCTION("IFERROR(REGEXEXTRACT($I30,""DOM.*?S\((\d+/\d+)\)""),"""")
"),"1/1")</f>
        <v>1/1</v>
      </c>
      <c r="L30" s="4" t="str">
        <f>IFERROR(__xludf.DUMMYFUNCTION("IFERROR(REGEXEXTRACT($I30,""DOM.*?C\((\d+/\d+)\)""),"""")
"),"0/1")</f>
        <v>0/1</v>
      </c>
      <c r="M30" s="4" t="str">
        <f>IFERROR(__xludf.DUMMYFUNCTION("IFERROR(REGEXEXTRACT($I30,""ECO\s*M\((\d+/\d+)\)""),"""")
"),"0/3")</f>
        <v>0/3</v>
      </c>
      <c r="N30" s="4" t="str">
        <f>IFERROR(__xludf.DUMMYFUNCTION("IFERROR(REGEXEXTRACT($I30,""ECO.*?S\((\d+/\d+)\)""),"""")
"),"0/1")</f>
        <v>0/1</v>
      </c>
      <c r="O30" s="4" t="str">
        <f>IFERROR(__xludf.DUMMYFUNCTION("IFERROR(REGEXEXTRACT($I30,""ECO.*?C\((\d+/\d+)\)""),"""")
"),"1/1")</f>
        <v>1/1</v>
      </c>
      <c r="P30" s="4" t="str">
        <f>IFERROR(__xludf.DUMMYFUNCTION("IFERROR(REGEXEXTRACT($I30,""LING\s*M\((\d+/\d+)\)""),"""")
"),"2/3")</f>
        <v>2/3</v>
      </c>
      <c r="Q30" s="4" t="str">
        <f>IFERROR(__xludf.DUMMYFUNCTION("IFERROR(REGEXEXTRACT($I30,""LING.*?S\((\d+/\d+)\)""),"""")
"),"0/2")</f>
        <v>0/2</v>
      </c>
      <c r="R30" s="4" t="str">
        <f>IFERROR(__xludf.DUMMYFUNCTION("IFERROR(REGEXEXTRACT($I30,""LING[^|]*C\(([0-9]+/[0-9]+)\)""),"""")
"),"1/2")</f>
        <v>1/2</v>
      </c>
      <c r="S30" s="4" t="b">
        <f>IFERROR(__xludf.DUMMYFUNCTION("AND(
  VALUE(INDEX(SPLIT(J30,""/""),1))=VALUE(INDEX(SPLIT(J30,""/""),2)),
  VALUE(INDEX(SPLIT(M30,""/""),1))=VALUE(INDEX(SPLIT(M30,""/""),2)),
  VALUE(INDEX(SPLIT(P30,""/""),1))=VALUE(INDEX(SPLIT(P30,""/""),2))
)
"),FALSE)</f>
        <v>0</v>
      </c>
      <c r="T30" s="4">
        <f>IFERROR(__xludf.DUMMYFUNCTION(" (VALUE(INDEX(SPLIT(J30,""/""),2))-VALUE(INDEX(SPLIT(J30,""/""),1)))
+ (VALUE(INDEX(SPLIT(M30,""/""),2))-VALUE(INDEX(SPLIT(M30,""/""),1)))
+ (VALUE(INDEX(SPLIT(P30,""/""),2))-VALUE(INDEX(SPLIT(P30,""/""),1)))
"),5.0)</f>
        <v>5</v>
      </c>
      <c r="U30" s="4" t="s">
        <v>410</v>
      </c>
      <c r="V30" s="4" t="s">
        <v>411</v>
      </c>
      <c r="W30" s="4" t="s">
        <v>412</v>
      </c>
      <c r="X30" s="4" t="s">
        <v>413</v>
      </c>
    </row>
    <row r="31" ht="19.5" customHeight="1">
      <c r="A31" s="38"/>
      <c r="D31" s="35"/>
      <c r="E31" s="35"/>
      <c r="F31" s="35"/>
      <c r="G31" s="35"/>
      <c r="H31" s="35"/>
      <c r="J31" s="4" t="str">
        <f>IFERROR(__xludf.DUMMYFUNCTION("IFERROR(REGEXEXTRACT($I31,""DOM\s*M\((\d+/\d+)\)""),"""")
"),"")</f>
        <v/>
      </c>
      <c r="K31" s="4" t="str">
        <f>IFERROR(__xludf.DUMMYFUNCTION("IFERROR(REGEXEXTRACT($I31,""DOM.*?S\((\d+/\d+)\)""),"""")
"),"")</f>
        <v/>
      </c>
      <c r="L31" s="4" t="str">
        <f>IFERROR(__xludf.DUMMYFUNCTION("IFERROR(REGEXEXTRACT($I31,""DOM.*?C\((\d+/\d+)\)""),"""")
"),"")</f>
        <v/>
      </c>
      <c r="M31" s="4" t="str">
        <f>IFERROR(__xludf.DUMMYFUNCTION("IFERROR(REGEXEXTRACT($I31,""ECO\s*M\((\d+/\d+)\)""),"""")
"),"")</f>
        <v/>
      </c>
      <c r="N31" s="4" t="str">
        <f>IFERROR(__xludf.DUMMYFUNCTION("IFERROR(REGEXEXTRACT($I31,""ECO.*?S\((\d+/\d+)\)""),"""")
"),"")</f>
        <v/>
      </c>
      <c r="O31" s="4" t="str">
        <f>IFERROR(__xludf.DUMMYFUNCTION("IFERROR(REGEXEXTRACT($I31,""ECO.*?C\((\d+/\d+)\)""),"""")
"),"")</f>
        <v/>
      </c>
      <c r="P31" s="4" t="str">
        <f>IFERROR(__xludf.DUMMYFUNCTION("IFERROR(REGEXEXTRACT($I31,""LING\s*M\((\d+/\d+)\)""),"""")
"),"")</f>
        <v/>
      </c>
      <c r="Q31" s="4" t="str">
        <f>IFERROR(__xludf.DUMMYFUNCTION("IFERROR(REGEXEXTRACT($I31,""LING.*?S\((\d+/\d+)\)""),"""")
"),"")</f>
        <v/>
      </c>
      <c r="R31" s="4" t="str">
        <f>IFERROR(__xludf.DUMMYFUNCTION("IFERROR(REGEXEXTRACT($I31,""LING[^|]*C\(([0-9]+/[0-9]+)\)""),"""")
"),"")</f>
        <v/>
      </c>
    </row>
    <row r="32" ht="19.5" customHeight="1">
      <c r="A32" s="39" t="s">
        <v>234</v>
      </c>
      <c r="B32" s="40" t="str">
        <f>IFERROR(VLOOKUP(A32,Projects!$A$2:$C$8,2,FALSE),"")
</f>
        <v>Critical Embedded Hardware Platform</v>
      </c>
      <c r="C32" s="4" t="s">
        <v>414</v>
      </c>
      <c r="D32" s="35" t="s">
        <v>169</v>
      </c>
      <c r="E32" s="35" t="s">
        <v>34</v>
      </c>
      <c r="F32" s="35" t="s">
        <v>173</v>
      </c>
      <c r="G32" s="35" t="s">
        <v>175</v>
      </c>
      <c r="H32" s="35">
        <v>2.0</v>
      </c>
      <c r="I32" s="4" t="s">
        <v>415</v>
      </c>
      <c r="J32" s="4" t="str">
        <f>IFERROR(__xludf.DUMMYFUNCTION("IFERROR(REGEXEXTRACT($I32,""DOM\s*M\((\d+/\d+)\)""),"""")
"),"2/2")</f>
        <v>2/2</v>
      </c>
      <c r="K32" s="4" t="str">
        <f>IFERROR(__xludf.DUMMYFUNCTION("IFERROR(REGEXEXTRACT($I32,""DOM.*?S\((\d+/\d+)\)""),"""")
"),"1/1")</f>
        <v>1/1</v>
      </c>
      <c r="L32" s="4" t="str">
        <f>IFERROR(__xludf.DUMMYFUNCTION("IFERROR(REGEXEXTRACT($I32,""DOM.*?C\((\d+/\d+)\)""),"""")
"),"1/1")</f>
        <v>1/1</v>
      </c>
      <c r="M32" s="4" t="str">
        <f>IFERROR(__xludf.DUMMYFUNCTION("IFERROR(REGEXEXTRACT($I32,""ECO\s*M\((\d+/\d+)\)""),"""")
"),"2/2")</f>
        <v>2/2</v>
      </c>
      <c r="N32" s="4" t="str">
        <f>IFERROR(__xludf.DUMMYFUNCTION("IFERROR(REGEXEXTRACT($I32,""ECO.*?S\((\d+/\d+)\)""),"""")
"),"1/1")</f>
        <v>1/1</v>
      </c>
      <c r="O32" s="4" t="str">
        <f>IFERROR(__xludf.DUMMYFUNCTION("IFERROR(REGEXEXTRACT($I32,""ECO.*?C\((\d+/\d+)\)""),"""")
"),"2/2")</f>
        <v>2/2</v>
      </c>
      <c r="P32" s="4" t="str">
        <f>IFERROR(__xludf.DUMMYFUNCTION("IFERROR(REGEXEXTRACT($I32,""LING\s*M\((\d+/\d+)\)""),"""")
"),"1/1")</f>
        <v>1/1</v>
      </c>
      <c r="Q32" s="4" t="str">
        <f>IFERROR(__xludf.DUMMYFUNCTION("IFERROR(REGEXEXTRACT($I32,""LING.*?S\((\d+/\d+)\)""),"""")
"),"1/1")</f>
        <v>1/1</v>
      </c>
      <c r="R32" s="4" t="str">
        <f>IFERROR(__xludf.DUMMYFUNCTION("IFERROR(REGEXEXTRACT($I32,""LING[^|]*C\(([0-9]+/[0-9]+)\)""),"""")
"),"1/1")</f>
        <v>1/1</v>
      </c>
      <c r="S32" s="4" t="b">
        <f>IFERROR(__xludf.DUMMYFUNCTION("AND(
  VALUE(INDEX(SPLIT(J32,""/""),1))=VALUE(INDEX(SPLIT(J32,""/""),2)),
  VALUE(INDEX(SPLIT(M32,""/""),1))=VALUE(INDEX(SPLIT(M32,""/""),2)),
  VALUE(INDEX(SPLIT(P32,""/""),1))=VALUE(INDEX(SPLIT(P32,""/""),2))
)
"),TRUE)</f>
        <v>1</v>
      </c>
      <c r="T32" s="4">
        <f>IFERROR(__xludf.DUMMYFUNCTION(" (VALUE(INDEX(SPLIT(J32,""/""),2))-VALUE(INDEX(SPLIT(J32,""/""),1)))
+ (VALUE(INDEX(SPLIT(M32,""/""),2))-VALUE(INDEX(SPLIT(M32,""/""),1)))
+ (VALUE(INDEX(SPLIT(P32,""/""),2))-VALUE(INDEX(SPLIT(P32,""/""),1)))
"),0.0)</f>
        <v>0</v>
      </c>
      <c r="U32" s="4" t="s">
        <v>416</v>
      </c>
      <c r="V32" s="4" t="s">
        <v>417</v>
      </c>
      <c r="W32" s="4" t="s">
        <v>418</v>
      </c>
      <c r="X32" s="4" t="s">
        <v>419</v>
      </c>
    </row>
    <row r="33" ht="18.75" customHeight="1">
      <c r="A33" s="31"/>
      <c r="B33" s="8" t="s">
        <v>420</v>
      </c>
      <c r="C33" s="4" t="s">
        <v>421</v>
      </c>
      <c r="D33" s="35" t="s">
        <v>137</v>
      </c>
      <c r="E33" s="35" t="s">
        <v>70</v>
      </c>
      <c r="F33" s="35" t="s">
        <v>26</v>
      </c>
      <c r="G33" s="35" t="s">
        <v>177</v>
      </c>
      <c r="H33" s="35">
        <v>1.0</v>
      </c>
      <c r="I33" s="4" t="s">
        <v>415</v>
      </c>
      <c r="J33" s="4" t="str">
        <f>IFERROR(__xludf.DUMMYFUNCTION("IFERROR(REGEXEXTRACT($I33,""DOM\s*M\((\d+/\d+)\)""),"""")
"),"2/2")</f>
        <v>2/2</v>
      </c>
      <c r="K33" s="4" t="str">
        <f>IFERROR(__xludf.DUMMYFUNCTION("IFERROR(REGEXEXTRACT($I33,""DOM.*?S\((\d+/\d+)\)""),"""")
"),"1/1")</f>
        <v>1/1</v>
      </c>
      <c r="L33" s="4" t="str">
        <f>IFERROR(__xludf.DUMMYFUNCTION("IFERROR(REGEXEXTRACT($I33,""DOM.*?C\((\d+/\d+)\)""),"""")
"),"1/1")</f>
        <v>1/1</v>
      </c>
      <c r="M33" s="4" t="str">
        <f>IFERROR(__xludf.DUMMYFUNCTION("IFERROR(REGEXEXTRACT($I33,""ECO\s*M\((\d+/\d+)\)""),"""")
"),"2/2")</f>
        <v>2/2</v>
      </c>
      <c r="N33" s="4" t="str">
        <f>IFERROR(__xludf.DUMMYFUNCTION("IFERROR(REGEXEXTRACT($I33,""ECO.*?S\((\d+/\d+)\)""),"""")
"),"1/1")</f>
        <v>1/1</v>
      </c>
      <c r="O33" s="4" t="str">
        <f>IFERROR(__xludf.DUMMYFUNCTION("IFERROR(REGEXEXTRACT($I33,""ECO.*?C\((\d+/\d+)\)""),"""")
"),"2/2")</f>
        <v>2/2</v>
      </c>
      <c r="P33" s="4" t="str">
        <f>IFERROR(__xludf.DUMMYFUNCTION("IFERROR(REGEXEXTRACT($I33,""LING\s*M\((\d+/\d+)\)""),"""")
"),"1/1")</f>
        <v>1/1</v>
      </c>
      <c r="Q33" s="4" t="str">
        <f>IFERROR(__xludf.DUMMYFUNCTION("IFERROR(REGEXEXTRACT($I33,""LING.*?S\((\d+/\d+)\)""),"""")
"),"1/1")</f>
        <v>1/1</v>
      </c>
      <c r="R33" s="4" t="str">
        <f>IFERROR(__xludf.DUMMYFUNCTION("IFERROR(REGEXEXTRACT($I33,""LING[^|]*C\(([0-9]+/[0-9]+)\)""),"""")
"),"1/1")</f>
        <v>1/1</v>
      </c>
      <c r="S33" s="4" t="b">
        <f>IFERROR(__xludf.DUMMYFUNCTION("AND(
  VALUE(INDEX(SPLIT(J33,""/""),1))=VALUE(INDEX(SPLIT(J33,""/""),2)),
  VALUE(INDEX(SPLIT(M33,""/""),1))=VALUE(INDEX(SPLIT(M33,""/""),2)),
  VALUE(INDEX(SPLIT(P33,""/""),1))=VALUE(INDEX(SPLIT(P33,""/""),2))
)
"),TRUE)</f>
        <v>1</v>
      </c>
      <c r="T33" s="4">
        <f>IFERROR(__xludf.DUMMYFUNCTION(" (VALUE(INDEX(SPLIT(J33,""/""),2))-VALUE(INDEX(SPLIT(J33,""/""),1)))
+ (VALUE(INDEX(SPLIT(M33,""/""),2))-VALUE(INDEX(SPLIT(M33,""/""),1)))
+ (VALUE(INDEX(SPLIT(P33,""/""),2))-VALUE(INDEX(SPLIT(P33,""/""),1)))
"),0.0)</f>
        <v>0</v>
      </c>
      <c r="U33" s="4" t="s">
        <v>422</v>
      </c>
      <c r="V33" s="4" t="s">
        <v>423</v>
      </c>
      <c r="W33" s="4" t="s">
        <v>424</v>
      </c>
      <c r="X33" s="4" t="s">
        <v>425</v>
      </c>
    </row>
    <row r="34" ht="19.5" customHeight="1">
      <c r="A34" s="31"/>
      <c r="C34" s="4" t="s">
        <v>426</v>
      </c>
      <c r="D34" s="35" t="s">
        <v>160</v>
      </c>
      <c r="E34" s="35" t="s">
        <v>179</v>
      </c>
      <c r="F34" s="35" t="s">
        <v>123</v>
      </c>
      <c r="G34" s="35" t="s">
        <v>39</v>
      </c>
      <c r="H34" s="35">
        <v>2.0</v>
      </c>
      <c r="I34" s="4" t="s">
        <v>415</v>
      </c>
      <c r="J34" s="4" t="str">
        <f>IFERROR(__xludf.DUMMYFUNCTION("IFERROR(REGEXEXTRACT($I34,""DOM\s*M\((\d+/\d+)\)""),"""")
"),"2/2")</f>
        <v>2/2</v>
      </c>
      <c r="K34" s="4" t="str">
        <f>IFERROR(__xludf.DUMMYFUNCTION("IFERROR(REGEXEXTRACT($I34,""DOM.*?S\((\d+/\d+)\)""),"""")
"),"1/1")</f>
        <v>1/1</v>
      </c>
      <c r="L34" s="4" t="str">
        <f>IFERROR(__xludf.DUMMYFUNCTION("IFERROR(REGEXEXTRACT($I34,""DOM.*?C\((\d+/\d+)\)""),"""")
"),"1/1")</f>
        <v>1/1</v>
      </c>
      <c r="M34" s="4" t="str">
        <f>IFERROR(__xludf.DUMMYFUNCTION("IFERROR(REGEXEXTRACT($I34,""ECO\s*M\((\d+/\d+)\)""),"""")
"),"2/2")</f>
        <v>2/2</v>
      </c>
      <c r="N34" s="4" t="str">
        <f>IFERROR(__xludf.DUMMYFUNCTION("IFERROR(REGEXEXTRACT($I34,""ECO.*?S\((\d+/\d+)\)""),"""")
"),"1/1")</f>
        <v>1/1</v>
      </c>
      <c r="O34" s="4" t="str">
        <f>IFERROR(__xludf.DUMMYFUNCTION("IFERROR(REGEXEXTRACT($I34,""ECO.*?C\((\d+/\d+)\)""),"""")
"),"2/2")</f>
        <v>2/2</v>
      </c>
      <c r="P34" s="4" t="str">
        <f>IFERROR(__xludf.DUMMYFUNCTION("IFERROR(REGEXEXTRACT($I34,""LING\s*M\((\d+/\d+)\)""),"""")
"),"1/1")</f>
        <v>1/1</v>
      </c>
      <c r="Q34" s="4" t="str">
        <f>IFERROR(__xludf.DUMMYFUNCTION("IFERROR(REGEXEXTRACT($I34,""LING.*?S\((\d+/\d+)\)""),"""")
"),"1/1")</f>
        <v>1/1</v>
      </c>
      <c r="R34" s="4" t="str">
        <f>IFERROR(__xludf.DUMMYFUNCTION("IFERROR(REGEXEXTRACT($I34,""LING[^|]*C\(([0-9]+/[0-9]+)\)""),"""")
"),"1/1")</f>
        <v>1/1</v>
      </c>
      <c r="S34" s="4" t="b">
        <f>IFERROR(__xludf.DUMMYFUNCTION("AND(
  VALUE(INDEX(SPLIT(J34,""/""),1))=VALUE(INDEX(SPLIT(J34,""/""),2)),
  VALUE(INDEX(SPLIT(M34,""/""),1))=VALUE(INDEX(SPLIT(M34,""/""),2)),
  VALUE(INDEX(SPLIT(P34,""/""),1))=VALUE(INDEX(SPLIT(P34,""/""),2))
)
"),TRUE)</f>
        <v>1</v>
      </c>
      <c r="T34" s="4">
        <f>IFERROR(__xludf.DUMMYFUNCTION(" (VALUE(INDEX(SPLIT(J34,""/""),2))-VALUE(INDEX(SPLIT(J34,""/""),1)))
+ (VALUE(INDEX(SPLIT(M34,""/""),2))-VALUE(INDEX(SPLIT(M34,""/""),1)))
+ (VALUE(INDEX(SPLIT(P34,""/""),2))-VALUE(INDEX(SPLIT(P34,""/""),1)))
"),0.0)</f>
        <v>0</v>
      </c>
      <c r="U34" s="4" t="s">
        <v>427</v>
      </c>
      <c r="V34" s="4" t="s">
        <v>428</v>
      </c>
      <c r="W34" s="4" t="s">
        <v>429</v>
      </c>
      <c r="X34" s="4" t="s">
        <v>430</v>
      </c>
    </row>
    <row r="35" ht="19.5" customHeight="1">
      <c r="A35" s="31"/>
      <c r="C35" s="4" t="s">
        <v>431</v>
      </c>
      <c r="D35" s="35" t="s">
        <v>180</v>
      </c>
      <c r="E35" s="35" t="s">
        <v>168</v>
      </c>
      <c r="F35" s="35" t="s">
        <v>11</v>
      </c>
      <c r="G35" s="35" t="s">
        <v>182</v>
      </c>
      <c r="H35" s="35">
        <v>5.0</v>
      </c>
      <c r="I35" s="4" t="s">
        <v>432</v>
      </c>
      <c r="J35" s="4" t="str">
        <f>IFERROR(__xludf.DUMMYFUNCTION("IFERROR(REGEXEXTRACT($I35,""DOM\s*M\((\d+/\d+)\)""),"""")
"),"0/2")</f>
        <v>0/2</v>
      </c>
      <c r="K35" s="4" t="str">
        <f>IFERROR(__xludf.DUMMYFUNCTION("IFERROR(REGEXEXTRACT($I35,""DOM.*?S\((\d+/\d+)\)""),"""")
"),"0/1")</f>
        <v>0/1</v>
      </c>
      <c r="L35" s="4" t="str">
        <f>IFERROR(__xludf.DUMMYFUNCTION("IFERROR(REGEXEXTRACT($I35,""DOM.*?C\((\d+/\d+)\)""),"""")
"),"0/1")</f>
        <v>0/1</v>
      </c>
      <c r="M35" s="4" t="str">
        <f>IFERROR(__xludf.DUMMYFUNCTION("IFERROR(REGEXEXTRACT($I35,""ECO\s*M\((\d+/\d+)\)""),"""")
"),"0/2")</f>
        <v>0/2</v>
      </c>
      <c r="N35" s="4" t="str">
        <f>IFERROR(__xludf.DUMMYFUNCTION("IFERROR(REGEXEXTRACT($I35,""ECO.*?S\((\d+/\d+)\)""),"""")
"),"0/1")</f>
        <v>0/1</v>
      </c>
      <c r="O35" s="4" t="str">
        <f>IFERROR(__xludf.DUMMYFUNCTION("IFERROR(REGEXEXTRACT($I35,""ECO.*?C\((\d+/\d+)\)""),"""")
"),"0/3")</f>
        <v>0/3</v>
      </c>
      <c r="P35" s="4" t="str">
        <f>IFERROR(__xludf.DUMMYFUNCTION("IFERROR(REGEXEXTRACT($I35,""LING\s*M\((\d+/\d+)\)""),"""")
"),"0/1")</f>
        <v>0/1</v>
      </c>
      <c r="Q35" s="4" t="str">
        <f>IFERROR(__xludf.DUMMYFUNCTION("IFERROR(REGEXEXTRACT($I35,""LING.*?S\((\d+/\d+)\)""),"""")
"),"0/1")</f>
        <v>0/1</v>
      </c>
      <c r="R35" s="4" t="str">
        <f>IFERROR(__xludf.DUMMYFUNCTION("IFERROR(REGEXEXTRACT($I35,""LING[^|]*C\(([0-9]+/[0-9]+)\)""),"""")
"),"0/1")</f>
        <v>0/1</v>
      </c>
      <c r="S35" s="4" t="b">
        <f>IFERROR(__xludf.DUMMYFUNCTION("AND(
  VALUE(INDEX(SPLIT(J35,""/""),1))=VALUE(INDEX(SPLIT(J35,""/""),2)),
  VALUE(INDEX(SPLIT(M35,""/""),1))=VALUE(INDEX(SPLIT(M35,""/""),2)),
  VALUE(INDEX(SPLIT(P35,""/""),1))=VALUE(INDEX(SPLIT(P35,""/""),2))
)
"),FALSE)</f>
        <v>0</v>
      </c>
      <c r="T35" s="4">
        <f>IFERROR(__xludf.DUMMYFUNCTION(" (VALUE(INDEX(SPLIT(J35,""/""),2))-VALUE(INDEX(SPLIT(J35,""/""),1)))
+ (VALUE(INDEX(SPLIT(M35,""/""),2))-VALUE(INDEX(SPLIT(M35,""/""),1)))
+ (VALUE(INDEX(SPLIT(P35,""/""),2))-VALUE(INDEX(SPLIT(P35,""/""),1)))
"),5.0)</f>
        <v>5</v>
      </c>
      <c r="U35" s="41" t="s">
        <v>433</v>
      </c>
      <c r="V35" s="41" t="s">
        <v>434</v>
      </c>
      <c r="W35" s="41" t="s">
        <v>435</v>
      </c>
      <c r="X35" s="41" t="s">
        <v>436</v>
      </c>
    </row>
    <row r="36" ht="15.75" customHeight="1">
      <c r="A36" s="33"/>
      <c r="C36" s="4" t="s">
        <v>437</v>
      </c>
      <c r="D36" s="35" t="s">
        <v>184</v>
      </c>
      <c r="E36" s="35" t="s">
        <v>185</v>
      </c>
      <c r="F36" s="35" t="s">
        <v>187</v>
      </c>
      <c r="G36" s="35" t="s">
        <v>161</v>
      </c>
      <c r="H36" s="35">
        <v>5.0</v>
      </c>
      <c r="I36" s="4" t="s">
        <v>432</v>
      </c>
      <c r="J36" s="4" t="str">
        <f>IFERROR(__xludf.DUMMYFUNCTION("IFERROR(REGEXEXTRACT($I36,""DOM\s*M\((\d+/\d+)\)""),"""")
"),"0/2")</f>
        <v>0/2</v>
      </c>
      <c r="K36" s="4" t="str">
        <f>IFERROR(__xludf.DUMMYFUNCTION("IFERROR(REGEXEXTRACT($I36,""DOM.*?S\((\d+/\d+)\)""),"""")
"),"0/1")</f>
        <v>0/1</v>
      </c>
      <c r="L36" s="4" t="str">
        <f>IFERROR(__xludf.DUMMYFUNCTION("IFERROR(REGEXEXTRACT($I36,""DOM.*?C\((\d+/\d+)\)""),"""")
"),"0/1")</f>
        <v>0/1</v>
      </c>
      <c r="M36" s="4" t="str">
        <f>IFERROR(__xludf.DUMMYFUNCTION("IFERROR(REGEXEXTRACT($I36,""ECO\s*M\((\d+/\d+)\)""),"""")
"),"0/2")</f>
        <v>0/2</v>
      </c>
      <c r="N36" s="4" t="str">
        <f>IFERROR(__xludf.DUMMYFUNCTION("IFERROR(REGEXEXTRACT($I36,""ECO.*?S\((\d+/\d+)\)""),"""")
"),"0/1")</f>
        <v>0/1</v>
      </c>
      <c r="O36" s="4" t="str">
        <f>IFERROR(__xludf.DUMMYFUNCTION("IFERROR(REGEXEXTRACT($I36,""ECO.*?C\((\d+/\d+)\)""),"""")
"),"0/3")</f>
        <v>0/3</v>
      </c>
      <c r="P36" s="4" t="str">
        <f>IFERROR(__xludf.DUMMYFUNCTION("IFERROR(REGEXEXTRACT($I36,""LING\s*M\((\d+/\d+)\)""),"""")
"),"0/1")</f>
        <v>0/1</v>
      </c>
      <c r="Q36" s="4" t="str">
        <f>IFERROR(__xludf.DUMMYFUNCTION("IFERROR(REGEXEXTRACT($I36,""LING.*?S\((\d+/\d+)\)""),"""")
"),"0/1")</f>
        <v>0/1</v>
      </c>
      <c r="R36" s="4" t="str">
        <f>IFERROR(__xludf.DUMMYFUNCTION("IFERROR(REGEXEXTRACT($I36,""LING[^|]*C\(([0-9]+/[0-9]+)\)""),"""")
"),"0/1")</f>
        <v>0/1</v>
      </c>
      <c r="S36" s="4" t="b">
        <f>IFERROR(__xludf.DUMMYFUNCTION("AND(
  VALUE(INDEX(SPLIT(J36,""/""),1))=VALUE(INDEX(SPLIT(J36,""/""),2)),
  VALUE(INDEX(SPLIT(M36,""/""),1))=VALUE(INDEX(SPLIT(M36,""/""),2)),
  VALUE(INDEX(SPLIT(P36,""/""),1))=VALUE(INDEX(SPLIT(P36,""/""),2))
)
"),FALSE)</f>
        <v>0</v>
      </c>
      <c r="T36" s="4">
        <f>IFERROR(__xludf.DUMMYFUNCTION(" (VALUE(INDEX(SPLIT(J36,""/""),2))-VALUE(INDEX(SPLIT(J36,""/""),1)))
+ (VALUE(INDEX(SPLIT(M36,""/""),2))-VALUE(INDEX(SPLIT(M36,""/""),1)))
+ (VALUE(INDEX(SPLIT(P36,""/""),2))-VALUE(INDEX(SPLIT(P36,""/""),1)))
"),5.0)</f>
        <v>5</v>
      </c>
      <c r="U36" s="41" t="s">
        <v>438</v>
      </c>
      <c r="V36" s="41" t="s">
        <v>439</v>
      </c>
      <c r="W36" s="41" t="s">
        <v>440</v>
      </c>
      <c r="X36" s="41" t="s">
        <v>441</v>
      </c>
    </row>
    <row r="39">
      <c r="I39" s="4" t="s">
        <v>442</v>
      </c>
    </row>
    <row r="40">
      <c r="AF40" s="40" t="str">
        <f>+AF59</f>
        <v/>
      </c>
    </row>
  </sheetData>
  <mergeCells count="12">
    <mergeCell ref="A20:A24"/>
    <mergeCell ref="A26:A30"/>
    <mergeCell ref="B27:B30"/>
    <mergeCell ref="A32:A36"/>
    <mergeCell ref="B33:B36"/>
    <mergeCell ref="A2:A6"/>
    <mergeCell ref="B3:B6"/>
    <mergeCell ref="A8:A12"/>
    <mergeCell ref="B9:B12"/>
    <mergeCell ref="A14:A18"/>
    <mergeCell ref="B15:B18"/>
    <mergeCell ref="B21:B24"/>
  </mergeCells>
  <conditionalFormatting sqref="D2:G36">
    <cfRule type="expression" dxfId="0" priority="1">
      <formula>AND(D2&lt;&gt;"",COUNTIF($D2:$G2,D2)&gt;1)</formula>
    </cfRule>
  </conditionalFormatting>
  <conditionalFormatting sqref="S1:S995">
    <cfRule type="colorScale" priority="2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2:G6 D8:G12 D14:G18 D20:G24 D26:G30 D32:G36">
      <formula1>Devs!$B$2:$B$100</formula1>
    </dataValidation>
    <dataValidation type="list" allowBlank="1" showErrorMessage="1" sqref="H2:H6 H8:H12 H14:H18 H20:H24 H26:H30 H32:H36">
      <formula1>"0,1,2,3,4,5"</formula1>
    </dataValidation>
    <dataValidation type="list" allowBlank="1" showErrorMessage="1" sqref="A2 A8 A14 A20 A26 A32">
      <formula1>"P_,P1,P2,P3,P4,P5,P6"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25"/>
    <col customWidth="1" min="8" max="8" width="36.13"/>
    <col customWidth="1" min="24" max="24" width="14.13"/>
  </cols>
  <sheetData>
    <row r="1">
      <c r="A1" s="1" t="s">
        <v>443</v>
      </c>
      <c r="B1" s="1" t="s">
        <v>444</v>
      </c>
      <c r="C1" s="1" t="s">
        <v>445</v>
      </c>
      <c r="D1" s="1" t="s">
        <v>446</v>
      </c>
      <c r="E1" s="1" t="s">
        <v>447</v>
      </c>
      <c r="F1" s="1" t="s">
        <v>448</v>
      </c>
      <c r="G1" s="1" t="s">
        <v>449</v>
      </c>
      <c r="H1" s="1" t="s">
        <v>450</v>
      </c>
      <c r="I1" s="1" t="s">
        <v>451</v>
      </c>
      <c r="J1" s="1" t="s">
        <v>452</v>
      </c>
      <c r="K1" s="1" t="s">
        <v>453</v>
      </c>
      <c r="L1" s="1" t="s">
        <v>454</v>
      </c>
      <c r="M1" s="1" t="s">
        <v>455</v>
      </c>
      <c r="N1" s="1" t="s">
        <v>456</v>
      </c>
      <c r="O1" s="1" t="s">
        <v>457</v>
      </c>
      <c r="P1" s="1" t="s">
        <v>458</v>
      </c>
      <c r="Q1" s="1" t="s">
        <v>459</v>
      </c>
      <c r="R1" s="1" t="s">
        <v>460</v>
      </c>
      <c r="S1" s="1" t="s">
        <v>461</v>
      </c>
      <c r="T1" s="1" t="s">
        <v>462</v>
      </c>
      <c r="U1" s="1" t="s">
        <v>463</v>
      </c>
      <c r="V1" s="1" t="s">
        <v>464</v>
      </c>
      <c r="W1" s="1" t="s">
        <v>465</v>
      </c>
      <c r="X1" s="1" t="s">
        <v>466</v>
      </c>
      <c r="Y1" s="1" t="s">
        <v>467</v>
      </c>
      <c r="Z1" s="1" t="s">
        <v>468</v>
      </c>
      <c r="AA1" s="1" t="s">
        <v>469</v>
      </c>
      <c r="AB1" s="1" t="s">
        <v>470</v>
      </c>
      <c r="AC1" s="1" t="s">
        <v>471</v>
      </c>
      <c r="AD1" s="1" t="s">
        <v>472</v>
      </c>
      <c r="AE1" s="1" t="s">
        <v>473</v>
      </c>
      <c r="AF1" s="1" t="s">
        <v>474</v>
      </c>
      <c r="AG1" s="1" t="s">
        <v>475</v>
      </c>
      <c r="AH1" s="1" t="s">
        <v>476</v>
      </c>
      <c r="AI1" s="1" t="s">
        <v>477</v>
      </c>
      <c r="AJ1" s="1" t="s">
        <v>478</v>
      </c>
      <c r="AK1" s="1" t="s">
        <v>479</v>
      </c>
      <c r="AL1" s="1" t="s">
        <v>480</v>
      </c>
      <c r="AM1" s="1" t="s">
        <v>481</v>
      </c>
      <c r="AN1" s="1" t="s">
        <v>482</v>
      </c>
      <c r="AO1" s="1" t="s">
        <v>483</v>
      </c>
      <c r="AP1" s="1" t="s">
        <v>484</v>
      </c>
      <c r="AQ1" s="1" t="s">
        <v>485</v>
      </c>
      <c r="AR1" s="1" t="s">
        <v>486</v>
      </c>
      <c r="AS1" s="1" t="s">
        <v>487</v>
      </c>
      <c r="AT1" s="1" t="s">
        <v>488</v>
      </c>
      <c r="AU1" s="1" t="s">
        <v>489</v>
      </c>
      <c r="AV1" s="1" t="s">
        <v>490</v>
      </c>
      <c r="AW1" s="1" t="s">
        <v>491</v>
      </c>
      <c r="AX1" s="1" t="s">
        <v>492</v>
      </c>
      <c r="AY1" s="1" t="s">
        <v>493</v>
      </c>
      <c r="AZ1" s="1" t="s">
        <v>494</v>
      </c>
      <c r="BA1" s="1" t="s">
        <v>495</v>
      </c>
      <c r="BB1" s="1" t="s">
        <v>496</v>
      </c>
      <c r="BC1" s="1" t="s">
        <v>497</v>
      </c>
    </row>
    <row r="2">
      <c r="A2" s="4" t="s">
        <v>203</v>
      </c>
      <c r="B2" s="4" t="s">
        <v>498</v>
      </c>
      <c r="C2" s="4" t="s">
        <v>499</v>
      </c>
      <c r="D2" s="4">
        <v>0.164574</v>
      </c>
      <c r="E2" s="4">
        <v>2.0</v>
      </c>
      <c r="F2" s="4">
        <v>0.150789</v>
      </c>
      <c r="G2" s="4">
        <v>0.3</v>
      </c>
      <c r="H2" s="4" t="s">
        <v>500</v>
      </c>
      <c r="I2" s="4" t="s">
        <v>501</v>
      </c>
      <c r="J2" s="4" t="s">
        <v>502</v>
      </c>
      <c r="K2" s="4">
        <v>0.2</v>
      </c>
      <c r="L2" s="4" t="s">
        <v>503</v>
      </c>
      <c r="M2" s="4" t="s">
        <v>503</v>
      </c>
      <c r="N2" s="4" t="s">
        <v>504</v>
      </c>
      <c r="O2" s="4" t="s">
        <v>504</v>
      </c>
      <c r="P2" s="4">
        <v>0.25</v>
      </c>
      <c r="Q2" s="4">
        <v>0.0</v>
      </c>
      <c r="R2" s="4">
        <v>0.0</v>
      </c>
      <c r="S2" s="4">
        <v>5.254824</v>
      </c>
      <c r="T2" s="4">
        <v>0.013624</v>
      </c>
      <c r="U2" s="4">
        <v>5.2E-5</v>
      </c>
      <c r="V2" s="4">
        <v>1.05E-4</v>
      </c>
      <c r="W2" s="4">
        <v>0.016656</v>
      </c>
      <c r="X2" s="4">
        <v>0.011804</v>
      </c>
      <c r="Y2" s="4">
        <v>0.02846</v>
      </c>
      <c r="Z2" s="4">
        <v>0.061946</v>
      </c>
      <c r="AA2" s="4">
        <v>0.299471</v>
      </c>
      <c r="AB2" s="4">
        <v>5.554295</v>
      </c>
      <c r="AC2" s="4">
        <v>2.0</v>
      </c>
      <c r="AD2" s="4">
        <v>1.0</v>
      </c>
      <c r="AE2" s="4" t="s">
        <v>505</v>
      </c>
      <c r="AF2" s="4">
        <v>1.0</v>
      </c>
      <c r="AG2" s="4">
        <v>0.0</v>
      </c>
      <c r="AI2" s="4">
        <v>1.0</v>
      </c>
      <c r="AJ2" s="4">
        <v>1.0</v>
      </c>
      <c r="AK2" s="4" t="s">
        <v>506</v>
      </c>
      <c r="AL2" s="4">
        <v>1.0</v>
      </c>
      <c r="AM2" s="4">
        <v>0.0</v>
      </c>
      <c r="AO2" s="4">
        <v>1.0</v>
      </c>
      <c r="AP2" s="4">
        <v>1.0</v>
      </c>
      <c r="AQ2" s="4" t="s">
        <v>507</v>
      </c>
      <c r="AR2" s="4">
        <v>1.0</v>
      </c>
      <c r="AS2" s="4">
        <v>0.0</v>
      </c>
      <c r="AU2" s="4">
        <v>1.0</v>
      </c>
      <c r="AV2" s="4">
        <v>0.0</v>
      </c>
      <c r="AX2" s="4">
        <v>2.0</v>
      </c>
      <c r="AY2" s="4">
        <v>1.0</v>
      </c>
      <c r="AZ2" s="4" t="s">
        <v>508</v>
      </c>
      <c r="BA2" s="4">
        <v>1.0</v>
      </c>
      <c r="BB2" s="4">
        <v>0.0</v>
      </c>
    </row>
    <row r="3">
      <c r="A3" s="4" t="s">
        <v>203</v>
      </c>
      <c r="B3" s="4" t="s">
        <v>267</v>
      </c>
      <c r="C3" s="4" t="s">
        <v>509</v>
      </c>
      <c r="D3" s="4">
        <v>0.106921</v>
      </c>
      <c r="E3" s="4">
        <v>5.0</v>
      </c>
      <c r="F3" s="4">
        <v>0.10468</v>
      </c>
      <c r="G3" s="4">
        <v>0.1</v>
      </c>
      <c r="H3" s="4" t="s">
        <v>510</v>
      </c>
      <c r="I3" s="4" t="s">
        <v>511</v>
      </c>
      <c r="J3" s="4" t="s">
        <v>512</v>
      </c>
      <c r="K3" s="4">
        <v>0.1</v>
      </c>
      <c r="L3" s="4" t="s">
        <v>504</v>
      </c>
      <c r="M3" s="4" t="s">
        <v>504</v>
      </c>
      <c r="N3" s="4" t="s">
        <v>504</v>
      </c>
      <c r="O3" s="4" t="s">
        <v>504</v>
      </c>
      <c r="P3" s="4">
        <v>0.125</v>
      </c>
      <c r="Q3" s="4">
        <v>0.0</v>
      </c>
      <c r="R3" s="4">
        <v>0.0</v>
      </c>
      <c r="S3" s="4">
        <v>5.254824</v>
      </c>
      <c r="T3" s="4">
        <v>0.013939</v>
      </c>
      <c r="U3" s="4">
        <v>3.8E-5</v>
      </c>
      <c r="V3" s="4">
        <v>8.3E-5</v>
      </c>
      <c r="W3" s="4">
        <v>0.015942</v>
      </c>
      <c r="X3" s="4">
        <v>0.009882</v>
      </c>
      <c r="Y3" s="4">
        <v>0.025823</v>
      </c>
      <c r="Z3" s="4">
        <v>0.057763</v>
      </c>
      <c r="AA3" s="4">
        <v>0.299471</v>
      </c>
      <c r="AB3" s="4">
        <v>5.554295</v>
      </c>
      <c r="AC3" s="4">
        <v>2.0</v>
      </c>
      <c r="AD3" s="4">
        <v>1.0</v>
      </c>
      <c r="AE3" s="4" t="s">
        <v>505</v>
      </c>
      <c r="AF3" s="4">
        <v>1.0</v>
      </c>
      <c r="AG3" s="4">
        <v>0.0</v>
      </c>
      <c r="AH3" s="4"/>
      <c r="AI3" s="4">
        <v>1.0</v>
      </c>
      <c r="AJ3" s="4">
        <v>0.0</v>
      </c>
      <c r="AK3" s="4"/>
      <c r="AL3" s="4">
        <v>1.0</v>
      </c>
      <c r="AM3" s="4">
        <v>0.0</v>
      </c>
      <c r="AN3" s="4"/>
      <c r="AO3" s="4">
        <v>1.0</v>
      </c>
      <c r="AP3" s="4">
        <v>1.0</v>
      </c>
      <c r="AQ3" s="4" t="s">
        <v>507</v>
      </c>
      <c r="AR3" s="4">
        <v>1.0</v>
      </c>
      <c r="AS3" s="4">
        <v>0.0</v>
      </c>
      <c r="AT3" s="4"/>
      <c r="AU3" s="4">
        <v>1.0</v>
      </c>
      <c r="AV3" s="4">
        <v>0.0</v>
      </c>
      <c r="AW3" s="4"/>
      <c r="AX3" s="4">
        <v>2.0</v>
      </c>
      <c r="AY3" s="4">
        <v>2.0</v>
      </c>
      <c r="AZ3" s="4" t="s">
        <v>513</v>
      </c>
      <c r="BA3" s="4">
        <v>1.0</v>
      </c>
      <c r="BB3" s="4">
        <v>1.0</v>
      </c>
      <c r="BC3" s="4" t="s">
        <v>514</v>
      </c>
    </row>
    <row r="4">
      <c r="A4" s="4" t="s">
        <v>203</v>
      </c>
      <c r="B4" s="4" t="s">
        <v>273</v>
      </c>
      <c r="C4" s="4" t="s">
        <v>515</v>
      </c>
      <c r="D4" s="4">
        <v>0.122672</v>
      </c>
      <c r="E4" s="4">
        <v>4.0</v>
      </c>
      <c r="F4" s="4">
        <v>0.10468</v>
      </c>
      <c r="G4" s="4">
        <v>0.3</v>
      </c>
      <c r="H4" s="4" t="s">
        <v>510</v>
      </c>
      <c r="I4" s="4" t="s">
        <v>501</v>
      </c>
      <c r="J4" s="4" t="s">
        <v>516</v>
      </c>
      <c r="K4" s="4">
        <v>0.2</v>
      </c>
      <c r="L4" s="4" t="s">
        <v>503</v>
      </c>
      <c r="M4" s="4" t="s">
        <v>504</v>
      </c>
      <c r="N4" s="4" t="s">
        <v>504</v>
      </c>
      <c r="O4" s="4" t="s">
        <v>504</v>
      </c>
      <c r="P4" s="4">
        <v>0.142857</v>
      </c>
      <c r="Q4" s="4">
        <v>0.0</v>
      </c>
      <c r="R4" s="4">
        <v>0.0</v>
      </c>
      <c r="S4" s="4">
        <v>5.254824</v>
      </c>
      <c r="T4" s="4">
        <v>0.012843</v>
      </c>
      <c r="U4" s="4">
        <v>3.7E-5</v>
      </c>
      <c r="V4" s="4">
        <v>7.9E-5</v>
      </c>
      <c r="W4" s="4">
        <v>0.014065</v>
      </c>
      <c r="X4" s="4">
        <v>0.013309</v>
      </c>
      <c r="Y4" s="4">
        <v>0.027373</v>
      </c>
      <c r="Z4" s="4">
        <v>0.059286</v>
      </c>
      <c r="AA4" s="4">
        <v>0.299471</v>
      </c>
      <c r="AB4" s="4">
        <v>5.554295</v>
      </c>
      <c r="AC4" s="4">
        <v>2.0</v>
      </c>
      <c r="AD4" s="4">
        <v>1.0</v>
      </c>
      <c r="AE4" s="4" t="s">
        <v>505</v>
      </c>
      <c r="AF4" s="4">
        <v>1.0</v>
      </c>
      <c r="AG4" s="4">
        <v>0.0</v>
      </c>
      <c r="AH4" s="4"/>
      <c r="AI4" s="4">
        <v>1.0</v>
      </c>
      <c r="AJ4" s="4">
        <v>1.0</v>
      </c>
      <c r="AK4" s="4" t="s">
        <v>506</v>
      </c>
      <c r="AL4" s="4">
        <v>1.0</v>
      </c>
      <c r="AM4" s="4">
        <v>0.0</v>
      </c>
      <c r="AN4" s="4"/>
      <c r="AO4" s="4">
        <v>1.0</v>
      </c>
      <c r="AP4" s="4">
        <v>1.0</v>
      </c>
      <c r="AQ4" s="4" t="s">
        <v>507</v>
      </c>
      <c r="AR4" s="4">
        <v>1.0</v>
      </c>
      <c r="AS4" s="4">
        <v>0.0</v>
      </c>
      <c r="AT4" s="4"/>
      <c r="AU4" s="4">
        <v>1.0</v>
      </c>
      <c r="AV4" s="4">
        <v>0.0</v>
      </c>
      <c r="AW4" s="4"/>
      <c r="AX4" s="4">
        <v>2.0</v>
      </c>
      <c r="AY4" s="4">
        <v>1.0</v>
      </c>
      <c r="AZ4" s="4" t="s">
        <v>508</v>
      </c>
      <c r="BA4" s="4">
        <v>1.0</v>
      </c>
      <c r="BB4" s="4">
        <v>0.0</v>
      </c>
    </row>
    <row r="5">
      <c r="A5" s="4" t="s">
        <v>203</v>
      </c>
      <c r="B5" s="4" t="s">
        <v>275</v>
      </c>
      <c r="C5" s="4" t="s">
        <v>517</v>
      </c>
      <c r="D5" s="4">
        <v>0.541278</v>
      </c>
      <c r="E5" s="4">
        <v>1.0</v>
      </c>
      <c r="F5" s="4">
        <v>0.782261</v>
      </c>
      <c r="G5" s="4">
        <v>0.3</v>
      </c>
      <c r="H5" s="4" t="s">
        <v>518</v>
      </c>
      <c r="I5" s="4" t="s">
        <v>501</v>
      </c>
      <c r="J5" s="4" t="s">
        <v>519</v>
      </c>
      <c r="K5" s="4">
        <v>0.2</v>
      </c>
      <c r="L5" s="4" t="s">
        <v>503</v>
      </c>
      <c r="M5" s="4" t="s">
        <v>520</v>
      </c>
      <c r="N5" s="4" t="s">
        <v>521</v>
      </c>
      <c r="O5" s="4" t="s">
        <v>522</v>
      </c>
      <c r="P5" s="4">
        <v>0.642857</v>
      </c>
      <c r="Q5" s="4">
        <v>0.5</v>
      </c>
      <c r="R5" s="4">
        <v>0.857143</v>
      </c>
      <c r="S5" s="4">
        <v>5.254824</v>
      </c>
      <c r="T5" s="4">
        <v>0.01232</v>
      </c>
      <c r="U5" s="4">
        <v>4.6E-5</v>
      </c>
      <c r="V5" s="4">
        <v>8.6E-5</v>
      </c>
      <c r="W5" s="4">
        <v>0.012311</v>
      </c>
      <c r="X5" s="4">
        <v>0.014152</v>
      </c>
      <c r="Y5" s="4">
        <v>0.026463</v>
      </c>
      <c r="Z5" s="4">
        <v>0.05025</v>
      </c>
      <c r="AA5" s="4">
        <v>0.299471</v>
      </c>
      <c r="AB5" s="4">
        <v>5.554295</v>
      </c>
      <c r="AC5" s="4">
        <v>2.0</v>
      </c>
      <c r="AD5" s="4">
        <v>2.0</v>
      </c>
      <c r="AE5" s="4" t="s">
        <v>523</v>
      </c>
      <c r="AF5" s="4">
        <v>1.0</v>
      </c>
      <c r="AG5" s="4">
        <v>1.0</v>
      </c>
      <c r="AH5" s="4" t="s">
        <v>524</v>
      </c>
      <c r="AI5" s="4">
        <v>1.0</v>
      </c>
      <c r="AJ5" s="4">
        <v>0.0</v>
      </c>
      <c r="AK5" s="4"/>
      <c r="AL5" s="4">
        <v>1.0</v>
      </c>
      <c r="AM5" s="4">
        <v>1.0</v>
      </c>
      <c r="AN5" s="4" t="s">
        <v>525</v>
      </c>
      <c r="AO5" s="4">
        <v>1.0</v>
      </c>
      <c r="AP5" s="4">
        <v>0.0</v>
      </c>
      <c r="AQ5" s="4"/>
      <c r="AR5" s="4">
        <v>1.0</v>
      </c>
      <c r="AS5" s="4">
        <v>0.0</v>
      </c>
      <c r="AT5" s="4"/>
      <c r="AU5" s="4">
        <v>1.0</v>
      </c>
      <c r="AV5" s="4">
        <v>1.0</v>
      </c>
      <c r="AW5" s="4" t="s">
        <v>526</v>
      </c>
      <c r="AX5" s="4">
        <v>2.0</v>
      </c>
      <c r="AY5" s="4">
        <v>2.0</v>
      </c>
      <c r="AZ5" s="4" t="s">
        <v>513</v>
      </c>
      <c r="BA5" s="4">
        <v>1.0</v>
      </c>
      <c r="BB5" s="4">
        <v>1.0</v>
      </c>
      <c r="BC5" s="4" t="s">
        <v>514</v>
      </c>
    </row>
    <row r="6">
      <c r="A6" s="4" t="s">
        <v>203</v>
      </c>
      <c r="B6" s="4" t="s">
        <v>281</v>
      </c>
      <c r="C6" s="4" t="s">
        <v>527</v>
      </c>
      <c r="D6" s="4">
        <v>0.128993</v>
      </c>
      <c r="E6" s="4">
        <v>3.0</v>
      </c>
      <c r="F6" s="4">
        <v>0.150789</v>
      </c>
      <c r="G6" s="4">
        <v>0.1</v>
      </c>
      <c r="H6" s="4" t="s">
        <v>500</v>
      </c>
      <c r="I6" s="4" t="s">
        <v>511</v>
      </c>
      <c r="J6" s="4" t="s">
        <v>528</v>
      </c>
      <c r="K6" s="4">
        <v>0.1</v>
      </c>
      <c r="L6" s="4" t="s">
        <v>504</v>
      </c>
      <c r="M6" s="4" t="s">
        <v>503</v>
      </c>
      <c r="N6" s="4" t="s">
        <v>504</v>
      </c>
      <c r="O6" s="4" t="s">
        <v>504</v>
      </c>
      <c r="P6" s="4">
        <v>0.25</v>
      </c>
      <c r="Q6" s="4">
        <v>0.0</v>
      </c>
      <c r="R6" s="4">
        <v>0.0</v>
      </c>
      <c r="S6" s="4">
        <v>5.254824</v>
      </c>
      <c r="T6" s="4">
        <v>0.014964</v>
      </c>
      <c r="U6" s="4">
        <v>4.0E-5</v>
      </c>
      <c r="V6" s="4">
        <v>8.3E-5</v>
      </c>
      <c r="W6" s="4">
        <v>0.018332</v>
      </c>
      <c r="X6" s="4">
        <v>0.017528</v>
      </c>
      <c r="Y6" s="4">
        <v>0.03586</v>
      </c>
      <c r="Z6" s="4">
        <v>0.066853</v>
      </c>
      <c r="AA6" s="4">
        <v>0.299471</v>
      </c>
      <c r="AB6" s="4">
        <v>5.554295</v>
      </c>
      <c r="AC6" s="4">
        <v>2.0</v>
      </c>
      <c r="AD6" s="4">
        <v>1.0</v>
      </c>
      <c r="AE6" s="4" t="s">
        <v>505</v>
      </c>
      <c r="AF6" s="4">
        <v>1.0</v>
      </c>
      <c r="AG6" s="4">
        <v>0.0</v>
      </c>
      <c r="AH6" s="4"/>
      <c r="AI6" s="4">
        <v>1.0</v>
      </c>
      <c r="AJ6" s="4">
        <v>1.0</v>
      </c>
      <c r="AK6" s="4" t="s">
        <v>506</v>
      </c>
      <c r="AL6" s="4">
        <v>1.0</v>
      </c>
      <c r="AM6" s="4">
        <v>0.0</v>
      </c>
      <c r="AN6" s="4"/>
      <c r="AO6" s="4">
        <v>1.0</v>
      </c>
      <c r="AP6" s="4">
        <v>1.0</v>
      </c>
      <c r="AQ6" s="4" t="s">
        <v>507</v>
      </c>
      <c r="AR6" s="4">
        <v>1.0</v>
      </c>
      <c r="AS6" s="4">
        <v>0.0</v>
      </c>
      <c r="AT6" s="4"/>
      <c r="AU6" s="4">
        <v>1.0</v>
      </c>
      <c r="AV6" s="4">
        <v>0.0</v>
      </c>
      <c r="AW6" s="4"/>
      <c r="AX6" s="4">
        <v>2.0</v>
      </c>
      <c r="AY6" s="4">
        <v>1.0</v>
      </c>
      <c r="AZ6" s="4" t="s">
        <v>508</v>
      </c>
      <c r="BA6" s="4">
        <v>1.0</v>
      </c>
      <c r="BB6" s="4">
        <v>0.0</v>
      </c>
    </row>
    <row r="7">
      <c r="A7" s="4" t="s">
        <v>209</v>
      </c>
      <c r="B7" s="4" t="s">
        <v>529</v>
      </c>
      <c r="C7" s="4" t="s">
        <v>530</v>
      </c>
      <c r="D7" s="4">
        <v>0.275664</v>
      </c>
      <c r="E7" s="4">
        <v>2.0</v>
      </c>
      <c r="F7" s="4">
        <v>0.249664</v>
      </c>
      <c r="G7" s="4">
        <v>0.5</v>
      </c>
      <c r="H7" s="4" t="s">
        <v>531</v>
      </c>
      <c r="I7" s="4" t="s">
        <v>532</v>
      </c>
      <c r="J7" s="4" t="s">
        <v>533</v>
      </c>
      <c r="K7" s="4">
        <v>0.4</v>
      </c>
      <c r="L7" s="4" t="s">
        <v>521</v>
      </c>
      <c r="M7" s="4" t="s">
        <v>521</v>
      </c>
      <c r="N7" s="4" t="s">
        <v>504</v>
      </c>
      <c r="O7" s="4" t="s">
        <v>504</v>
      </c>
      <c r="P7" s="4">
        <v>0.428572</v>
      </c>
      <c r="Q7" s="4">
        <v>0.142857</v>
      </c>
      <c r="R7" s="4">
        <v>0.09375</v>
      </c>
      <c r="S7" s="4">
        <v>5.254824</v>
      </c>
      <c r="T7" s="4">
        <v>0.015302</v>
      </c>
      <c r="U7" s="4">
        <v>3.9E-5</v>
      </c>
      <c r="V7" s="4">
        <v>8.2E-5</v>
      </c>
      <c r="W7" s="4">
        <v>0.010894</v>
      </c>
      <c r="X7" s="4">
        <v>0.010574</v>
      </c>
      <c r="Y7" s="4">
        <v>0.021468</v>
      </c>
      <c r="Z7" s="4">
        <v>0.051973</v>
      </c>
      <c r="AA7" s="4">
        <v>0.304397</v>
      </c>
      <c r="AB7" s="4">
        <v>5.559221</v>
      </c>
      <c r="AC7" s="4">
        <v>1.0</v>
      </c>
      <c r="AD7" s="4">
        <v>1.0</v>
      </c>
      <c r="AE7" s="4" t="s">
        <v>506</v>
      </c>
      <c r="AF7" s="4">
        <v>1.0</v>
      </c>
      <c r="AG7" s="4">
        <v>1.0</v>
      </c>
      <c r="AH7" s="4" t="s">
        <v>505</v>
      </c>
      <c r="AI7" s="4">
        <v>1.0</v>
      </c>
      <c r="AJ7" s="4">
        <v>1.0</v>
      </c>
      <c r="AK7" s="4" t="s">
        <v>524</v>
      </c>
      <c r="AL7" s="4">
        <v>2.0</v>
      </c>
      <c r="AM7" s="4">
        <v>0.0</v>
      </c>
      <c r="AN7" s="4"/>
      <c r="AO7" s="4">
        <v>1.0</v>
      </c>
      <c r="AP7" s="4">
        <v>0.0</v>
      </c>
      <c r="AQ7" s="4"/>
      <c r="AR7" s="4">
        <v>1.0</v>
      </c>
      <c r="AS7" s="4">
        <v>1.0</v>
      </c>
      <c r="AT7" s="4" t="s">
        <v>525</v>
      </c>
      <c r="AU7" s="4">
        <v>2.0</v>
      </c>
      <c r="AV7" s="4">
        <v>1.0</v>
      </c>
      <c r="AW7" s="4" t="s">
        <v>534</v>
      </c>
      <c r="AX7" s="4">
        <v>2.0</v>
      </c>
      <c r="AY7" s="4">
        <v>1.0</v>
      </c>
      <c r="AZ7" s="4" t="s">
        <v>508</v>
      </c>
      <c r="BA7" s="4">
        <v>2.0</v>
      </c>
      <c r="BB7" s="4">
        <v>1.0</v>
      </c>
      <c r="BC7" s="4" t="s">
        <v>526</v>
      </c>
    </row>
    <row r="8">
      <c r="A8" s="4" t="s">
        <v>209</v>
      </c>
      <c r="B8" s="4" t="s">
        <v>293</v>
      </c>
      <c r="C8" s="4" t="s">
        <v>535</v>
      </c>
      <c r="D8" s="4">
        <v>0.15454</v>
      </c>
      <c r="E8" s="4">
        <v>5.0</v>
      </c>
      <c r="F8" s="4">
        <v>0.10468</v>
      </c>
      <c r="G8" s="4">
        <v>0.5</v>
      </c>
      <c r="H8" s="4" t="s">
        <v>510</v>
      </c>
      <c r="I8" s="4" t="s">
        <v>532</v>
      </c>
      <c r="J8" s="4" t="s">
        <v>536</v>
      </c>
      <c r="K8" s="4">
        <v>0.4</v>
      </c>
      <c r="L8" s="4" t="s">
        <v>521</v>
      </c>
      <c r="M8" s="4" t="s">
        <v>504</v>
      </c>
      <c r="N8" s="4" t="s">
        <v>504</v>
      </c>
      <c r="O8" s="4" t="s">
        <v>504</v>
      </c>
      <c r="P8" s="4">
        <v>0.0</v>
      </c>
      <c r="Q8" s="4">
        <v>0.0</v>
      </c>
      <c r="R8" s="4">
        <v>0.0</v>
      </c>
      <c r="S8" s="4">
        <v>5.254824</v>
      </c>
      <c r="T8" s="4">
        <v>0.013242</v>
      </c>
      <c r="U8" s="4">
        <v>3.8E-5</v>
      </c>
      <c r="V8" s="4">
        <v>7.9E-5</v>
      </c>
      <c r="W8" s="4">
        <v>0.013744</v>
      </c>
      <c r="X8" s="4">
        <v>0.010201</v>
      </c>
      <c r="Y8" s="4">
        <v>0.023945</v>
      </c>
      <c r="Z8" s="4">
        <v>0.053069</v>
      </c>
      <c r="AA8" s="4">
        <v>0.304397</v>
      </c>
      <c r="AB8" s="4">
        <v>5.559221</v>
      </c>
      <c r="AC8" s="4">
        <v>1.0</v>
      </c>
      <c r="AD8" s="4">
        <v>0.0</v>
      </c>
      <c r="AE8" s="4"/>
      <c r="AF8" s="4">
        <v>1.0</v>
      </c>
      <c r="AG8" s="4">
        <v>1.0</v>
      </c>
      <c r="AH8" s="4" t="s">
        <v>505</v>
      </c>
      <c r="AI8" s="4">
        <v>1.0</v>
      </c>
      <c r="AJ8" s="4">
        <v>0.0</v>
      </c>
      <c r="AK8" s="4"/>
      <c r="AL8" s="4">
        <v>2.0</v>
      </c>
      <c r="AM8" s="4">
        <v>0.0</v>
      </c>
      <c r="AN8" s="4"/>
      <c r="AO8" s="4">
        <v>1.0</v>
      </c>
      <c r="AP8" s="4">
        <v>1.0</v>
      </c>
      <c r="AQ8" s="4" t="s">
        <v>507</v>
      </c>
      <c r="AR8" s="4">
        <v>1.0</v>
      </c>
      <c r="AS8" s="4">
        <v>0.0</v>
      </c>
      <c r="AT8" s="4"/>
      <c r="AU8" s="4">
        <v>2.0</v>
      </c>
      <c r="AV8" s="4">
        <v>0.0</v>
      </c>
      <c r="AW8" s="4"/>
      <c r="AX8" s="4">
        <v>2.0</v>
      </c>
      <c r="AY8" s="4">
        <v>2.0</v>
      </c>
      <c r="AZ8" s="4" t="s">
        <v>513</v>
      </c>
      <c r="BA8" s="4">
        <v>2.0</v>
      </c>
      <c r="BB8" s="4">
        <v>1.0</v>
      </c>
      <c r="BC8" s="4" t="s">
        <v>537</v>
      </c>
    </row>
    <row r="9">
      <c r="A9" s="4" t="s">
        <v>209</v>
      </c>
      <c r="B9" s="4" t="s">
        <v>299</v>
      </c>
      <c r="C9" s="4" t="s">
        <v>538</v>
      </c>
      <c r="D9" s="4">
        <v>0.275664</v>
      </c>
      <c r="E9" s="4">
        <v>3.0</v>
      </c>
      <c r="F9" s="4">
        <v>0.249664</v>
      </c>
      <c r="G9" s="4">
        <v>0.5</v>
      </c>
      <c r="H9" s="4" t="s">
        <v>531</v>
      </c>
      <c r="I9" s="4" t="s">
        <v>532</v>
      </c>
      <c r="J9" s="4" t="s">
        <v>533</v>
      </c>
      <c r="K9" s="4">
        <v>0.4</v>
      </c>
      <c r="L9" s="4" t="s">
        <v>521</v>
      </c>
      <c r="M9" s="4" t="s">
        <v>521</v>
      </c>
      <c r="N9" s="4" t="s">
        <v>504</v>
      </c>
      <c r="O9" s="4" t="s">
        <v>504</v>
      </c>
      <c r="P9" s="4">
        <v>0.428572</v>
      </c>
      <c r="Q9" s="4">
        <v>0.142857</v>
      </c>
      <c r="R9" s="4">
        <v>0.125</v>
      </c>
      <c r="S9" s="4">
        <v>5.254824</v>
      </c>
      <c r="T9" s="4">
        <v>0.014018</v>
      </c>
      <c r="U9" s="4">
        <v>3.8E-5</v>
      </c>
      <c r="V9" s="4">
        <v>7.9E-5</v>
      </c>
      <c r="W9" s="4">
        <v>0.013817</v>
      </c>
      <c r="X9" s="4">
        <v>0.019578</v>
      </c>
      <c r="Y9" s="4">
        <v>0.033394</v>
      </c>
      <c r="Z9" s="4">
        <v>0.061841</v>
      </c>
      <c r="AA9" s="4">
        <v>0.304397</v>
      </c>
      <c r="AB9" s="4">
        <v>5.559221</v>
      </c>
      <c r="AC9" s="4">
        <v>1.0</v>
      </c>
      <c r="AD9" s="4">
        <v>1.0</v>
      </c>
      <c r="AE9" s="4" t="s">
        <v>506</v>
      </c>
      <c r="AF9" s="4">
        <v>1.0</v>
      </c>
      <c r="AG9" s="4">
        <v>1.0</v>
      </c>
      <c r="AH9" s="4" t="s">
        <v>505</v>
      </c>
      <c r="AI9" s="4">
        <v>1.0</v>
      </c>
      <c r="AJ9" s="4">
        <v>0.0</v>
      </c>
      <c r="AK9" s="4"/>
      <c r="AL9" s="4">
        <v>2.0</v>
      </c>
      <c r="AM9" s="4">
        <v>0.0</v>
      </c>
      <c r="AN9" s="4"/>
      <c r="AO9" s="4">
        <v>1.0</v>
      </c>
      <c r="AP9" s="4">
        <v>0.0</v>
      </c>
      <c r="AQ9" s="4"/>
      <c r="AR9" s="4">
        <v>1.0</v>
      </c>
      <c r="AS9" s="4">
        <v>1.0</v>
      </c>
      <c r="AT9" s="4" t="s">
        <v>525</v>
      </c>
      <c r="AU9" s="4">
        <v>2.0</v>
      </c>
      <c r="AV9" s="4">
        <v>1.0</v>
      </c>
      <c r="AW9" s="4" t="s">
        <v>534</v>
      </c>
      <c r="AX9" s="4">
        <v>2.0</v>
      </c>
      <c r="AY9" s="4">
        <v>1.0</v>
      </c>
      <c r="AZ9" s="4" t="s">
        <v>508</v>
      </c>
      <c r="BA9" s="4">
        <v>2.0</v>
      </c>
      <c r="BB9" s="4">
        <v>2.0</v>
      </c>
      <c r="BC9" s="4" t="s">
        <v>539</v>
      </c>
    </row>
    <row r="10">
      <c r="A10" s="4" t="s">
        <v>209</v>
      </c>
      <c r="B10" s="4" t="s">
        <v>305</v>
      </c>
      <c r="C10" s="4" t="s">
        <v>540</v>
      </c>
      <c r="D10" s="4">
        <v>0.275664</v>
      </c>
      <c r="E10" s="4">
        <v>4.0</v>
      </c>
      <c r="F10" s="4">
        <v>0.249664</v>
      </c>
      <c r="G10" s="4">
        <v>0.5</v>
      </c>
      <c r="H10" s="4" t="s">
        <v>531</v>
      </c>
      <c r="I10" s="4" t="s">
        <v>532</v>
      </c>
      <c r="J10" s="4" t="s">
        <v>533</v>
      </c>
      <c r="K10" s="4">
        <v>0.4</v>
      </c>
      <c r="L10" s="4" t="s">
        <v>521</v>
      </c>
      <c r="M10" s="4" t="s">
        <v>521</v>
      </c>
      <c r="N10" s="4" t="s">
        <v>504</v>
      </c>
      <c r="O10" s="4" t="s">
        <v>504</v>
      </c>
      <c r="P10" s="4">
        <v>0.428572</v>
      </c>
      <c r="Q10" s="4">
        <v>0.107143</v>
      </c>
      <c r="R10" s="4">
        <v>0.0625</v>
      </c>
      <c r="S10" s="4">
        <v>5.254824</v>
      </c>
      <c r="T10" s="4">
        <v>0.015437</v>
      </c>
      <c r="U10" s="4">
        <v>4.0E-5</v>
      </c>
      <c r="V10" s="4">
        <v>8.0E-5</v>
      </c>
      <c r="W10" s="4">
        <v>0.015677</v>
      </c>
      <c r="X10" s="4">
        <v>0.0147</v>
      </c>
      <c r="Y10" s="4">
        <v>0.030376</v>
      </c>
      <c r="Z10" s="4">
        <v>0.062377</v>
      </c>
      <c r="AA10" s="4">
        <v>0.304397</v>
      </c>
      <c r="AB10" s="4">
        <v>5.559221</v>
      </c>
      <c r="AC10" s="4">
        <v>1.0</v>
      </c>
      <c r="AD10" s="4">
        <v>1.0</v>
      </c>
      <c r="AE10" s="4" t="s">
        <v>506</v>
      </c>
      <c r="AF10" s="4">
        <v>1.0</v>
      </c>
      <c r="AG10" s="4">
        <v>1.0</v>
      </c>
      <c r="AH10" s="4" t="s">
        <v>505</v>
      </c>
      <c r="AI10" s="4">
        <v>1.0</v>
      </c>
      <c r="AJ10" s="4">
        <v>1.0</v>
      </c>
      <c r="AK10" s="4" t="s">
        <v>524</v>
      </c>
      <c r="AL10" s="4">
        <v>2.0</v>
      </c>
      <c r="AM10" s="4">
        <v>1.0</v>
      </c>
      <c r="AN10" s="4" t="s">
        <v>541</v>
      </c>
      <c r="AO10" s="4">
        <v>1.0</v>
      </c>
      <c r="AP10" s="4">
        <v>1.0</v>
      </c>
      <c r="AQ10" s="4" t="s">
        <v>507</v>
      </c>
      <c r="AR10" s="4">
        <v>1.0</v>
      </c>
      <c r="AS10" s="4">
        <v>0.0</v>
      </c>
      <c r="AT10" s="4"/>
      <c r="AU10" s="4">
        <v>2.0</v>
      </c>
      <c r="AV10" s="4">
        <v>1.0</v>
      </c>
      <c r="AW10" s="4" t="s">
        <v>542</v>
      </c>
      <c r="AX10" s="4">
        <v>2.0</v>
      </c>
      <c r="AY10" s="4">
        <v>1.0</v>
      </c>
      <c r="AZ10" s="4" t="s">
        <v>508</v>
      </c>
      <c r="BA10" s="4">
        <v>2.0</v>
      </c>
      <c r="BB10" s="4">
        <v>0.0</v>
      </c>
    </row>
    <row r="11">
      <c r="A11" s="4" t="s">
        <v>209</v>
      </c>
      <c r="B11" s="4" t="s">
        <v>311</v>
      </c>
      <c r="C11" s="4" t="s">
        <v>543</v>
      </c>
      <c r="D11" s="4">
        <v>0.395012</v>
      </c>
      <c r="E11" s="4">
        <v>1.0</v>
      </c>
      <c r="F11" s="4">
        <v>0.489471</v>
      </c>
      <c r="G11" s="4">
        <v>0.3</v>
      </c>
      <c r="H11" s="4" t="s">
        <v>544</v>
      </c>
      <c r="I11" s="4" t="s">
        <v>501</v>
      </c>
      <c r="J11" s="4" t="s">
        <v>545</v>
      </c>
      <c r="K11" s="4">
        <v>0.2</v>
      </c>
      <c r="L11" s="4" t="s">
        <v>503</v>
      </c>
      <c r="M11" s="4" t="s">
        <v>521</v>
      </c>
      <c r="N11" s="4" t="s">
        <v>503</v>
      </c>
      <c r="O11" s="4" t="s">
        <v>521</v>
      </c>
      <c r="P11" s="4">
        <v>0.5</v>
      </c>
      <c r="Q11" s="4">
        <v>0.285714</v>
      </c>
      <c r="R11" s="4">
        <v>0.464286</v>
      </c>
      <c r="S11" s="4">
        <v>5.254824</v>
      </c>
      <c r="T11" s="4">
        <v>0.016431</v>
      </c>
      <c r="U11" s="4">
        <v>8.2E-5</v>
      </c>
      <c r="V11" s="4">
        <v>8.6E-5</v>
      </c>
      <c r="W11" s="4">
        <v>0.019398</v>
      </c>
      <c r="X11" s="4">
        <v>0.016492</v>
      </c>
      <c r="Y11" s="4">
        <v>0.03589</v>
      </c>
      <c r="Z11" s="4">
        <v>0.071998</v>
      </c>
      <c r="AA11" s="4">
        <v>0.304397</v>
      </c>
      <c r="AB11" s="4">
        <v>5.559221</v>
      </c>
      <c r="AC11" s="4">
        <v>1.0</v>
      </c>
      <c r="AD11" s="4">
        <v>1.0</v>
      </c>
      <c r="AE11" s="4" t="s">
        <v>506</v>
      </c>
      <c r="AF11" s="4">
        <v>1.0</v>
      </c>
      <c r="AG11" s="4">
        <v>0.0</v>
      </c>
      <c r="AH11" s="4"/>
      <c r="AI11" s="4">
        <v>1.0</v>
      </c>
      <c r="AJ11" s="4">
        <v>0.0</v>
      </c>
      <c r="AK11" s="4"/>
      <c r="AL11" s="4">
        <v>2.0</v>
      </c>
      <c r="AM11" s="4">
        <v>1.0</v>
      </c>
      <c r="AN11" s="4" t="s">
        <v>541</v>
      </c>
      <c r="AO11" s="4">
        <v>1.0</v>
      </c>
      <c r="AP11" s="4">
        <v>0.0</v>
      </c>
      <c r="AQ11" s="4"/>
      <c r="AR11" s="4">
        <v>1.0</v>
      </c>
      <c r="AS11" s="4">
        <v>0.0</v>
      </c>
      <c r="AT11" s="4"/>
      <c r="AU11" s="4">
        <v>2.0</v>
      </c>
      <c r="AV11" s="4">
        <v>2.0</v>
      </c>
      <c r="AW11" s="4" t="s">
        <v>546</v>
      </c>
      <c r="AX11" s="4">
        <v>2.0</v>
      </c>
      <c r="AY11" s="4">
        <v>1.0</v>
      </c>
      <c r="AZ11" s="4" t="s">
        <v>508</v>
      </c>
      <c r="BA11" s="4">
        <v>2.0</v>
      </c>
      <c r="BB11" s="4">
        <v>0.0</v>
      </c>
    </row>
    <row r="12">
      <c r="A12" s="4" t="s">
        <v>215</v>
      </c>
      <c r="B12" s="4" t="s">
        <v>547</v>
      </c>
      <c r="C12" s="4" t="s">
        <v>548</v>
      </c>
      <c r="D12" s="4">
        <v>0.325603</v>
      </c>
      <c r="E12" s="4">
        <v>1.0</v>
      </c>
      <c r="F12" s="4">
        <v>0.350869</v>
      </c>
      <c r="G12" s="4">
        <v>0.3</v>
      </c>
      <c r="H12" s="4" t="s">
        <v>549</v>
      </c>
      <c r="I12" s="4" t="s">
        <v>501</v>
      </c>
      <c r="J12" s="4" t="s">
        <v>550</v>
      </c>
      <c r="K12" s="4">
        <v>0.2</v>
      </c>
      <c r="L12" s="4" t="s">
        <v>503</v>
      </c>
      <c r="M12" s="4" t="s">
        <v>503</v>
      </c>
      <c r="N12" s="4" t="s">
        <v>522</v>
      </c>
      <c r="O12" s="4" t="s">
        <v>503</v>
      </c>
      <c r="P12" s="4">
        <v>0.214286</v>
      </c>
      <c r="Q12" s="4">
        <v>0.952381</v>
      </c>
      <c r="R12" s="4">
        <v>0.214286</v>
      </c>
      <c r="S12" s="4">
        <v>5.254824</v>
      </c>
      <c r="T12" s="4">
        <v>0.012055</v>
      </c>
      <c r="U12" s="4">
        <v>3.8E-5</v>
      </c>
      <c r="V12" s="4">
        <v>7.9E-5</v>
      </c>
      <c r="W12" s="4">
        <v>0.011266</v>
      </c>
      <c r="X12" s="4">
        <v>0.017758</v>
      </c>
      <c r="Y12" s="4">
        <v>0.029024</v>
      </c>
      <c r="Z12" s="4">
        <v>0.05576</v>
      </c>
      <c r="AA12" s="4">
        <v>0.29362</v>
      </c>
      <c r="AB12" s="4">
        <v>5.548444</v>
      </c>
      <c r="AC12" s="4">
        <v>2.0</v>
      </c>
      <c r="AD12" s="4">
        <v>1.0</v>
      </c>
      <c r="AE12" s="4" t="s">
        <v>524</v>
      </c>
      <c r="AF12" s="4">
        <v>1.0</v>
      </c>
      <c r="AG12" s="4">
        <v>1.0</v>
      </c>
      <c r="AH12" s="4" t="s">
        <v>505</v>
      </c>
      <c r="AI12" s="4">
        <v>1.0</v>
      </c>
      <c r="AJ12" s="4">
        <v>0.0</v>
      </c>
      <c r="AK12" s="4"/>
      <c r="AL12" s="4">
        <v>1.0</v>
      </c>
      <c r="AM12" s="4">
        <v>1.0</v>
      </c>
      <c r="AN12" s="4" t="s">
        <v>551</v>
      </c>
      <c r="AO12" s="4">
        <v>3.0</v>
      </c>
      <c r="AP12" s="4">
        <v>1.0</v>
      </c>
      <c r="AQ12" s="4" t="s">
        <v>507</v>
      </c>
      <c r="AR12" s="4">
        <v>1.0</v>
      </c>
      <c r="AS12" s="4">
        <v>1.0</v>
      </c>
      <c r="AT12" s="4" t="s">
        <v>541</v>
      </c>
      <c r="AU12" s="4">
        <v>2.0</v>
      </c>
      <c r="AV12" s="4">
        <v>1.0</v>
      </c>
      <c r="AW12" s="4" t="s">
        <v>514</v>
      </c>
      <c r="AX12" s="4">
        <v>1.0</v>
      </c>
      <c r="AY12" s="4">
        <v>1.0</v>
      </c>
      <c r="AZ12" s="4" t="s">
        <v>508</v>
      </c>
      <c r="BA12" s="4">
        <v>2.0</v>
      </c>
      <c r="BB12" s="4">
        <v>0.0</v>
      </c>
    </row>
    <row r="13">
      <c r="A13" s="4" t="s">
        <v>215</v>
      </c>
      <c r="B13" s="4" t="s">
        <v>323</v>
      </c>
      <c r="C13" s="4" t="s">
        <v>552</v>
      </c>
      <c r="D13" s="4">
        <v>0.106921</v>
      </c>
      <c r="E13" s="4">
        <v>2.0</v>
      </c>
      <c r="F13" s="4">
        <v>0.10468</v>
      </c>
      <c r="G13" s="4">
        <v>0.1</v>
      </c>
      <c r="H13" s="4" t="s">
        <v>510</v>
      </c>
      <c r="I13" s="4" t="s">
        <v>511</v>
      </c>
      <c r="J13" s="4" t="s">
        <v>512</v>
      </c>
      <c r="K13" s="4">
        <v>0.1</v>
      </c>
      <c r="L13" s="4" t="s">
        <v>504</v>
      </c>
      <c r="M13" s="4" t="s">
        <v>504</v>
      </c>
      <c r="N13" s="4" t="s">
        <v>504</v>
      </c>
      <c r="O13" s="4" t="s">
        <v>504</v>
      </c>
      <c r="P13" s="4">
        <v>0.0</v>
      </c>
      <c r="Q13" s="4">
        <v>0.0</v>
      </c>
      <c r="R13" s="4">
        <v>0.0</v>
      </c>
      <c r="S13" s="4">
        <v>5.254824</v>
      </c>
      <c r="T13" s="4">
        <v>0.011096</v>
      </c>
      <c r="U13" s="4">
        <v>3.8E-5</v>
      </c>
      <c r="V13" s="4">
        <v>7.6E-5</v>
      </c>
      <c r="W13" s="4">
        <v>0.014253</v>
      </c>
      <c r="X13" s="4">
        <v>0.014748</v>
      </c>
      <c r="Y13" s="4">
        <v>0.029001</v>
      </c>
      <c r="Z13" s="4">
        <v>0.058177</v>
      </c>
      <c r="AA13" s="4">
        <v>0.29362</v>
      </c>
      <c r="AB13" s="4">
        <v>5.548444</v>
      </c>
      <c r="AC13" s="4">
        <v>2.0</v>
      </c>
      <c r="AD13" s="4">
        <v>0.0</v>
      </c>
      <c r="AE13" s="4"/>
      <c r="AF13" s="4">
        <v>1.0</v>
      </c>
      <c r="AG13" s="4">
        <v>1.0</v>
      </c>
      <c r="AH13" s="4" t="s">
        <v>505</v>
      </c>
      <c r="AI13" s="4">
        <v>1.0</v>
      </c>
      <c r="AJ13" s="4">
        <v>0.0</v>
      </c>
      <c r="AK13" s="4"/>
      <c r="AL13" s="4">
        <v>1.0</v>
      </c>
      <c r="AM13" s="4">
        <v>0.0</v>
      </c>
      <c r="AN13" s="4"/>
      <c r="AO13" s="4">
        <v>3.0</v>
      </c>
      <c r="AP13" s="4">
        <v>1.0</v>
      </c>
      <c r="AQ13" s="4" t="s">
        <v>507</v>
      </c>
      <c r="AR13" s="4">
        <v>1.0</v>
      </c>
      <c r="AS13" s="4">
        <v>1.0</v>
      </c>
      <c r="AT13" s="4" t="s">
        <v>541</v>
      </c>
      <c r="AU13" s="4">
        <v>2.0</v>
      </c>
      <c r="AV13" s="4">
        <v>0.0</v>
      </c>
      <c r="AW13" s="4"/>
      <c r="AX13" s="4">
        <v>1.0</v>
      </c>
      <c r="AY13" s="4">
        <v>1.0</v>
      </c>
      <c r="AZ13" s="4" t="s">
        <v>508</v>
      </c>
      <c r="BA13" s="4">
        <v>2.0</v>
      </c>
      <c r="BB13" s="4">
        <v>1.0</v>
      </c>
      <c r="BC13" s="4" t="s">
        <v>537</v>
      </c>
    </row>
    <row r="14">
      <c r="A14" s="4" t="s">
        <v>215</v>
      </c>
      <c r="B14" s="4" t="s">
        <v>329</v>
      </c>
      <c r="C14" s="4" t="s">
        <v>553</v>
      </c>
      <c r="D14" s="4">
        <v>0.106921</v>
      </c>
      <c r="E14" s="4">
        <v>3.0</v>
      </c>
      <c r="F14" s="4">
        <v>0.10468</v>
      </c>
      <c r="G14" s="4">
        <v>0.1</v>
      </c>
      <c r="H14" s="4" t="s">
        <v>510</v>
      </c>
      <c r="I14" s="4" t="s">
        <v>511</v>
      </c>
      <c r="J14" s="4" t="s">
        <v>512</v>
      </c>
      <c r="K14" s="4">
        <v>0.1</v>
      </c>
      <c r="L14" s="4" t="s">
        <v>504</v>
      </c>
      <c r="M14" s="4" t="s">
        <v>504</v>
      </c>
      <c r="N14" s="4" t="s">
        <v>504</v>
      </c>
      <c r="O14" s="4" t="s">
        <v>504</v>
      </c>
      <c r="P14" s="4">
        <v>0.0</v>
      </c>
      <c r="Q14" s="4">
        <v>0.0</v>
      </c>
      <c r="R14" s="4">
        <v>0.0</v>
      </c>
      <c r="S14" s="4">
        <v>5.254824</v>
      </c>
      <c r="T14" s="4">
        <v>0.01101</v>
      </c>
      <c r="U14" s="4">
        <v>3.3E-5</v>
      </c>
      <c r="V14" s="4">
        <v>6.8E-5</v>
      </c>
      <c r="W14" s="4">
        <v>0.009217</v>
      </c>
      <c r="X14" s="4">
        <v>0.012834</v>
      </c>
      <c r="Y14" s="4">
        <v>0.022051</v>
      </c>
      <c r="Z14" s="4">
        <v>0.049744</v>
      </c>
      <c r="AA14" s="4">
        <v>0.29362</v>
      </c>
      <c r="AB14" s="4">
        <v>5.548444</v>
      </c>
      <c r="AC14" s="4">
        <v>2.0</v>
      </c>
      <c r="AD14" s="4">
        <v>0.0</v>
      </c>
      <c r="AE14" s="4"/>
      <c r="AF14" s="4">
        <v>1.0</v>
      </c>
      <c r="AG14" s="4">
        <v>1.0</v>
      </c>
      <c r="AH14" s="4" t="s">
        <v>505</v>
      </c>
      <c r="AI14" s="4">
        <v>1.0</v>
      </c>
      <c r="AJ14" s="4">
        <v>1.0</v>
      </c>
      <c r="AK14" s="4" t="s">
        <v>554</v>
      </c>
      <c r="AL14" s="4">
        <v>1.0</v>
      </c>
      <c r="AM14" s="4">
        <v>0.0</v>
      </c>
      <c r="AN14" s="4"/>
      <c r="AO14" s="4">
        <v>3.0</v>
      </c>
      <c r="AP14" s="4">
        <v>1.0</v>
      </c>
      <c r="AQ14" s="4" t="s">
        <v>507</v>
      </c>
      <c r="AR14" s="4">
        <v>1.0</v>
      </c>
      <c r="AS14" s="4">
        <v>0.0</v>
      </c>
      <c r="AT14" s="4"/>
      <c r="AU14" s="4">
        <v>2.0</v>
      </c>
      <c r="AV14" s="4">
        <v>1.0</v>
      </c>
      <c r="AW14" s="4" t="s">
        <v>555</v>
      </c>
      <c r="AX14" s="4">
        <v>1.0</v>
      </c>
      <c r="AY14" s="4">
        <v>1.0</v>
      </c>
      <c r="AZ14" s="4" t="s">
        <v>508</v>
      </c>
      <c r="BA14" s="4">
        <v>2.0</v>
      </c>
      <c r="BB14" s="4">
        <v>0.0</v>
      </c>
    </row>
    <row r="15">
      <c r="A15" s="4" t="s">
        <v>215</v>
      </c>
      <c r="B15" s="4" t="s">
        <v>335</v>
      </c>
      <c r="C15" s="4" t="s">
        <v>556</v>
      </c>
      <c r="D15" s="4">
        <v>0.106921</v>
      </c>
      <c r="E15" s="4">
        <v>4.0</v>
      </c>
      <c r="F15" s="4">
        <v>0.10468</v>
      </c>
      <c r="G15" s="4">
        <v>0.1</v>
      </c>
      <c r="H15" s="4" t="s">
        <v>510</v>
      </c>
      <c r="I15" s="4" t="s">
        <v>511</v>
      </c>
      <c r="J15" s="4" t="s">
        <v>512</v>
      </c>
      <c r="K15" s="4">
        <v>0.1</v>
      </c>
      <c r="L15" s="4" t="s">
        <v>504</v>
      </c>
      <c r="M15" s="4" t="s">
        <v>504</v>
      </c>
      <c r="N15" s="4" t="s">
        <v>504</v>
      </c>
      <c r="O15" s="4" t="s">
        <v>504</v>
      </c>
      <c r="P15" s="4">
        <v>0.0</v>
      </c>
      <c r="Q15" s="4">
        <v>0.0</v>
      </c>
      <c r="R15" s="4">
        <v>0.0</v>
      </c>
      <c r="S15" s="4">
        <v>5.254824</v>
      </c>
      <c r="T15" s="4">
        <v>0.016319</v>
      </c>
      <c r="U15" s="4">
        <v>3.2E-5</v>
      </c>
      <c r="V15" s="4">
        <v>6.8E-5</v>
      </c>
      <c r="W15" s="4">
        <v>0.015996</v>
      </c>
      <c r="X15" s="4">
        <v>0.01694</v>
      </c>
      <c r="Y15" s="4">
        <v>0.032936</v>
      </c>
      <c r="Z15" s="4">
        <v>0.067517</v>
      </c>
      <c r="AA15" s="4">
        <v>0.29362</v>
      </c>
      <c r="AB15" s="4">
        <v>5.548444</v>
      </c>
      <c r="AC15" s="4">
        <v>2.0</v>
      </c>
      <c r="AD15" s="4">
        <v>0.0</v>
      </c>
      <c r="AE15" s="4"/>
      <c r="AF15" s="4">
        <v>1.0</v>
      </c>
      <c r="AG15" s="4">
        <v>1.0</v>
      </c>
      <c r="AH15" s="4" t="s">
        <v>505</v>
      </c>
      <c r="AI15" s="4">
        <v>1.0</v>
      </c>
      <c r="AJ15" s="4">
        <v>0.0</v>
      </c>
      <c r="AK15" s="4"/>
      <c r="AL15" s="4">
        <v>1.0</v>
      </c>
      <c r="AM15" s="4">
        <v>0.0</v>
      </c>
      <c r="AN15" s="4"/>
      <c r="AO15" s="4">
        <v>3.0</v>
      </c>
      <c r="AP15" s="4">
        <v>1.0</v>
      </c>
      <c r="AQ15" s="4" t="s">
        <v>507</v>
      </c>
      <c r="AR15" s="4">
        <v>1.0</v>
      </c>
      <c r="AS15" s="4">
        <v>0.0</v>
      </c>
      <c r="AT15" s="4"/>
      <c r="AU15" s="4">
        <v>2.0</v>
      </c>
      <c r="AV15" s="4">
        <v>0.0</v>
      </c>
      <c r="AW15" s="4"/>
      <c r="AX15" s="4">
        <v>1.0</v>
      </c>
      <c r="AY15" s="4">
        <v>1.0</v>
      </c>
      <c r="AZ15" s="4" t="s">
        <v>508</v>
      </c>
      <c r="BA15" s="4">
        <v>2.0</v>
      </c>
      <c r="BB15" s="4">
        <v>1.0</v>
      </c>
      <c r="BC15" s="4" t="s">
        <v>537</v>
      </c>
    </row>
    <row r="16">
      <c r="A16" s="4" t="s">
        <v>215</v>
      </c>
      <c r="B16" s="4" t="s">
        <v>341</v>
      </c>
      <c r="C16" s="4" t="s">
        <v>557</v>
      </c>
      <c r="D16" s="4">
        <v>0.106921</v>
      </c>
      <c r="E16" s="4">
        <v>5.0</v>
      </c>
      <c r="F16" s="4">
        <v>0.10468</v>
      </c>
      <c r="G16" s="4">
        <v>0.1</v>
      </c>
      <c r="H16" s="4" t="s">
        <v>510</v>
      </c>
      <c r="I16" s="4" t="s">
        <v>511</v>
      </c>
      <c r="J16" s="4" t="s">
        <v>512</v>
      </c>
      <c r="K16" s="4">
        <v>0.1</v>
      </c>
      <c r="L16" s="4" t="s">
        <v>504</v>
      </c>
      <c r="M16" s="4" t="s">
        <v>504</v>
      </c>
      <c r="N16" s="4" t="s">
        <v>504</v>
      </c>
      <c r="O16" s="4" t="s">
        <v>504</v>
      </c>
      <c r="P16" s="4">
        <v>0.0</v>
      </c>
      <c r="Q16" s="4">
        <v>0.0</v>
      </c>
      <c r="R16" s="4">
        <v>0.0</v>
      </c>
      <c r="S16" s="4">
        <v>5.254824</v>
      </c>
      <c r="T16" s="4">
        <v>0.010633</v>
      </c>
      <c r="U16" s="4">
        <v>3.4E-5</v>
      </c>
      <c r="V16" s="4">
        <v>6.7E-5</v>
      </c>
      <c r="W16" s="4">
        <v>0.015129</v>
      </c>
      <c r="X16" s="4">
        <v>0.01628</v>
      </c>
      <c r="Y16" s="4">
        <v>0.03141</v>
      </c>
      <c r="Z16" s="4">
        <v>0.059257</v>
      </c>
      <c r="AA16" s="4">
        <v>0.29362</v>
      </c>
      <c r="AB16" s="4">
        <v>5.548444</v>
      </c>
      <c r="AC16" s="4">
        <v>2.0</v>
      </c>
      <c r="AD16" s="4">
        <v>0.0</v>
      </c>
      <c r="AE16" s="4"/>
      <c r="AF16" s="4">
        <v>1.0</v>
      </c>
      <c r="AG16" s="4">
        <v>1.0</v>
      </c>
      <c r="AH16" s="4" t="s">
        <v>505</v>
      </c>
      <c r="AI16" s="4">
        <v>1.0</v>
      </c>
      <c r="AJ16" s="4">
        <v>0.0</v>
      </c>
      <c r="AK16" s="4"/>
      <c r="AL16" s="4">
        <v>1.0</v>
      </c>
      <c r="AM16" s="4">
        <v>0.0</v>
      </c>
      <c r="AN16" s="4"/>
      <c r="AO16" s="4">
        <v>3.0</v>
      </c>
      <c r="AP16" s="4">
        <v>1.0</v>
      </c>
      <c r="AQ16" s="4" t="s">
        <v>507</v>
      </c>
      <c r="AR16" s="4">
        <v>1.0</v>
      </c>
      <c r="AS16" s="4">
        <v>0.0</v>
      </c>
      <c r="AT16" s="4"/>
      <c r="AU16" s="4">
        <v>2.0</v>
      </c>
      <c r="AV16" s="4">
        <v>0.0</v>
      </c>
      <c r="AW16" s="4"/>
      <c r="AX16" s="4">
        <v>1.0</v>
      </c>
      <c r="AY16" s="4">
        <v>1.0</v>
      </c>
      <c r="AZ16" s="4" t="s">
        <v>508</v>
      </c>
      <c r="BA16" s="4">
        <v>2.0</v>
      </c>
      <c r="BB16" s="4">
        <v>0.0</v>
      </c>
    </row>
    <row r="17">
      <c r="A17" s="4" t="s">
        <v>222</v>
      </c>
      <c r="B17" s="4" t="s">
        <v>558</v>
      </c>
      <c r="C17" s="4" t="s">
        <v>559</v>
      </c>
      <c r="D17" s="4">
        <v>0.399933</v>
      </c>
      <c r="E17" s="4">
        <v>2.0</v>
      </c>
      <c r="F17" s="4">
        <v>0.699957</v>
      </c>
      <c r="G17" s="4">
        <v>0.1</v>
      </c>
      <c r="H17" s="4" t="s">
        <v>560</v>
      </c>
      <c r="I17" s="4" t="s">
        <v>511</v>
      </c>
      <c r="J17" s="4" t="s">
        <v>561</v>
      </c>
      <c r="K17" s="4">
        <v>0.1</v>
      </c>
      <c r="L17" s="4" t="s">
        <v>504</v>
      </c>
      <c r="M17" s="4" t="s">
        <v>522</v>
      </c>
      <c r="N17" s="4" t="s">
        <v>504</v>
      </c>
      <c r="O17" s="4" t="s">
        <v>520</v>
      </c>
      <c r="P17" s="4">
        <v>1.0</v>
      </c>
      <c r="Q17" s="4">
        <v>0.0</v>
      </c>
      <c r="R17" s="4">
        <v>0.75</v>
      </c>
      <c r="S17" s="4">
        <v>5.254824</v>
      </c>
      <c r="T17" s="4">
        <v>0.011737</v>
      </c>
      <c r="U17" s="4">
        <v>3.9E-5</v>
      </c>
      <c r="V17" s="4">
        <v>8.0E-5</v>
      </c>
      <c r="W17" s="4">
        <v>0.014653</v>
      </c>
      <c r="X17" s="4">
        <v>0.015413</v>
      </c>
      <c r="Y17" s="4">
        <v>0.030065</v>
      </c>
      <c r="Z17" s="4">
        <v>0.062496</v>
      </c>
      <c r="AA17" s="4">
        <v>0.285042</v>
      </c>
      <c r="AB17" s="4">
        <v>5.539866</v>
      </c>
      <c r="AC17" s="4">
        <v>1.0</v>
      </c>
      <c r="AD17" s="4">
        <v>1.0</v>
      </c>
      <c r="AE17" s="4" t="s">
        <v>505</v>
      </c>
      <c r="AF17" s="4">
        <v>1.0</v>
      </c>
      <c r="AG17" s="4">
        <v>0.0</v>
      </c>
      <c r="AH17" s="4"/>
      <c r="AI17" s="4">
        <v>1.0</v>
      </c>
      <c r="AJ17" s="4">
        <v>1.0</v>
      </c>
      <c r="AK17" s="4" t="s">
        <v>554</v>
      </c>
      <c r="AL17" s="4">
        <v>1.0</v>
      </c>
      <c r="AM17" s="4">
        <v>0.0</v>
      </c>
      <c r="AN17" s="4"/>
      <c r="AO17" s="4">
        <v>2.0</v>
      </c>
      <c r="AP17" s="4">
        <v>0.0</v>
      </c>
      <c r="AQ17" s="4"/>
      <c r="AR17" s="4">
        <v>1.0</v>
      </c>
      <c r="AS17" s="4">
        <v>0.0</v>
      </c>
      <c r="AT17" s="4"/>
      <c r="AU17" s="4">
        <v>1.0</v>
      </c>
      <c r="AV17" s="4">
        <v>1.0</v>
      </c>
      <c r="AW17" s="4" t="s">
        <v>508</v>
      </c>
      <c r="AX17" s="4">
        <v>2.0</v>
      </c>
      <c r="AY17" s="4">
        <v>0.0</v>
      </c>
      <c r="BA17" s="4">
        <v>2.0</v>
      </c>
      <c r="BB17" s="4">
        <v>1.0</v>
      </c>
      <c r="BC17" s="4" t="s">
        <v>526</v>
      </c>
    </row>
    <row r="18">
      <c r="A18" s="4" t="s">
        <v>222</v>
      </c>
      <c r="B18" s="4" t="s">
        <v>353</v>
      </c>
      <c r="C18" s="4" t="s">
        <v>562</v>
      </c>
      <c r="D18" s="4">
        <v>0.387124</v>
      </c>
      <c r="E18" s="4">
        <v>3.0</v>
      </c>
      <c r="F18" s="4">
        <v>0.473708</v>
      </c>
      <c r="G18" s="4">
        <v>0.3</v>
      </c>
      <c r="H18" s="4" t="s">
        <v>563</v>
      </c>
      <c r="I18" s="4" t="s">
        <v>501</v>
      </c>
      <c r="J18" s="4" t="s">
        <v>564</v>
      </c>
      <c r="K18" s="4">
        <v>0.3</v>
      </c>
      <c r="L18" s="4" t="s">
        <v>503</v>
      </c>
      <c r="M18" s="4" t="s">
        <v>521</v>
      </c>
      <c r="N18" s="4" t="s">
        <v>504</v>
      </c>
      <c r="O18" s="4" t="s">
        <v>521</v>
      </c>
      <c r="P18" s="4">
        <v>0.5</v>
      </c>
      <c r="Q18" s="4">
        <v>0.0</v>
      </c>
      <c r="R18" s="4">
        <v>0.5</v>
      </c>
      <c r="S18" s="4">
        <v>5.254824</v>
      </c>
      <c r="T18" s="4">
        <v>0.01039</v>
      </c>
      <c r="U18" s="4">
        <v>3.4E-5</v>
      </c>
      <c r="V18" s="4">
        <v>7.1E-5</v>
      </c>
      <c r="W18" s="4">
        <v>0.016466</v>
      </c>
      <c r="X18" s="4">
        <v>0.011741</v>
      </c>
      <c r="Y18" s="4">
        <v>0.028206</v>
      </c>
      <c r="Z18" s="4">
        <v>0.056359</v>
      </c>
      <c r="AA18" s="4">
        <v>0.285042</v>
      </c>
      <c r="AB18" s="4">
        <v>5.539866</v>
      </c>
      <c r="AC18" s="4">
        <v>1.0</v>
      </c>
      <c r="AD18" s="4">
        <v>1.0</v>
      </c>
      <c r="AE18" s="4" t="s">
        <v>505</v>
      </c>
      <c r="AF18" s="4">
        <v>1.0</v>
      </c>
      <c r="AG18" s="4">
        <v>0.0</v>
      </c>
      <c r="AH18" s="4"/>
      <c r="AI18" s="4">
        <v>1.0</v>
      </c>
      <c r="AJ18" s="4">
        <v>0.0</v>
      </c>
      <c r="AK18" s="4"/>
      <c r="AL18" s="4">
        <v>1.0</v>
      </c>
      <c r="AM18" s="4">
        <v>0.0</v>
      </c>
      <c r="AN18" s="4"/>
      <c r="AO18" s="4">
        <v>2.0</v>
      </c>
      <c r="AP18" s="4">
        <v>1.0</v>
      </c>
      <c r="AQ18" s="4" t="s">
        <v>507</v>
      </c>
      <c r="AR18" s="4">
        <v>1.0</v>
      </c>
      <c r="AS18" s="4">
        <v>0.0</v>
      </c>
      <c r="AT18" s="4"/>
      <c r="AU18" s="4">
        <v>1.0</v>
      </c>
      <c r="AV18" s="4">
        <v>1.0</v>
      </c>
      <c r="AW18" s="4" t="s">
        <v>508</v>
      </c>
      <c r="AX18" s="4">
        <v>2.0</v>
      </c>
      <c r="AY18" s="4">
        <v>0.0</v>
      </c>
      <c r="BA18" s="4">
        <v>2.0</v>
      </c>
      <c r="BB18" s="4">
        <v>0.0</v>
      </c>
    </row>
    <row r="19">
      <c r="A19" s="4" t="s">
        <v>222</v>
      </c>
      <c r="B19" s="4" t="s">
        <v>359</v>
      </c>
      <c r="C19" s="4" t="s">
        <v>565</v>
      </c>
      <c r="D19" s="4">
        <v>0.48989</v>
      </c>
      <c r="E19" s="4">
        <v>1.0</v>
      </c>
      <c r="F19" s="4">
        <v>0.489593</v>
      </c>
      <c r="G19" s="4">
        <v>0.5</v>
      </c>
      <c r="H19" s="4" t="s">
        <v>566</v>
      </c>
      <c r="I19" s="4" t="s">
        <v>532</v>
      </c>
      <c r="J19" s="4" t="s">
        <v>567</v>
      </c>
      <c r="K19" s="4">
        <v>0.4</v>
      </c>
      <c r="L19" s="4" t="s">
        <v>521</v>
      </c>
      <c r="M19" s="4" t="s">
        <v>522</v>
      </c>
      <c r="N19" s="4" t="s">
        <v>504</v>
      </c>
      <c r="O19" s="4" t="s">
        <v>503</v>
      </c>
      <c r="P19" s="4">
        <v>0.857143</v>
      </c>
      <c r="Q19" s="4">
        <v>0.0</v>
      </c>
      <c r="R19" s="4">
        <v>0.375001</v>
      </c>
      <c r="S19" s="4">
        <v>5.254824</v>
      </c>
      <c r="T19" s="4">
        <v>0.012379</v>
      </c>
      <c r="U19" s="4">
        <v>3.5E-5</v>
      </c>
      <c r="V19" s="4">
        <v>7.6E-5</v>
      </c>
      <c r="W19" s="4">
        <v>0.0157</v>
      </c>
      <c r="X19" s="4">
        <v>0.010556</v>
      </c>
      <c r="Y19" s="4">
        <v>0.026256</v>
      </c>
      <c r="Z19" s="4">
        <v>0.053496</v>
      </c>
      <c r="AA19" s="4">
        <v>0.285042</v>
      </c>
      <c r="AB19" s="4">
        <v>5.539866</v>
      </c>
      <c r="AC19" s="4">
        <v>1.0</v>
      </c>
      <c r="AD19" s="4">
        <v>1.0</v>
      </c>
      <c r="AE19" s="4" t="s">
        <v>505</v>
      </c>
      <c r="AF19" s="4">
        <v>1.0</v>
      </c>
      <c r="AG19" s="4">
        <v>1.0</v>
      </c>
      <c r="AH19" s="4" t="s">
        <v>524</v>
      </c>
      <c r="AI19" s="4">
        <v>1.0</v>
      </c>
      <c r="AJ19" s="4">
        <v>0.0</v>
      </c>
      <c r="AK19" s="4"/>
      <c r="AL19" s="4">
        <v>1.0</v>
      </c>
      <c r="AM19" s="4">
        <v>0.0</v>
      </c>
      <c r="AN19" s="4"/>
      <c r="AO19" s="4">
        <v>2.0</v>
      </c>
      <c r="AP19" s="4">
        <v>1.0</v>
      </c>
      <c r="AQ19" s="4" t="s">
        <v>507</v>
      </c>
      <c r="AR19" s="4">
        <v>1.0</v>
      </c>
      <c r="AS19" s="4">
        <v>1.0</v>
      </c>
      <c r="AT19" s="4" t="s">
        <v>551</v>
      </c>
      <c r="AU19" s="4">
        <v>1.0</v>
      </c>
      <c r="AV19" s="4">
        <v>1.0</v>
      </c>
      <c r="AW19" s="4" t="s">
        <v>508</v>
      </c>
      <c r="AX19" s="4">
        <v>2.0</v>
      </c>
      <c r="AY19" s="4">
        <v>1.0</v>
      </c>
      <c r="AZ19" s="4" t="s">
        <v>514</v>
      </c>
      <c r="BA19" s="4">
        <v>2.0</v>
      </c>
      <c r="BB19" s="4">
        <v>1.0</v>
      </c>
      <c r="BC19" s="4" t="s">
        <v>537</v>
      </c>
    </row>
    <row r="20">
      <c r="A20" s="4" t="s">
        <v>222</v>
      </c>
      <c r="B20" s="4" t="s">
        <v>365</v>
      </c>
      <c r="C20" s="4" t="s">
        <v>568</v>
      </c>
      <c r="D20" s="4">
        <v>0.325413</v>
      </c>
      <c r="E20" s="4">
        <v>5.0</v>
      </c>
      <c r="F20" s="4">
        <v>0.350491</v>
      </c>
      <c r="G20" s="4">
        <v>0.3</v>
      </c>
      <c r="H20" s="4" t="s">
        <v>569</v>
      </c>
      <c r="I20" s="4" t="s">
        <v>501</v>
      </c>
      <c r="J20" s="4" t="s">
        <v>570</v>
      </c>
      <c r="K20" s="4">
        <v>0.3</v>
      </c>
      <c r="L20" s="4" t="s">
        <v>503</v>
      </c>
      <c r="M20" s="4" t="s">
        <v>522</v>
      </c>
      <c r="N20" s="4" t="s">
        <v>504</v>
      </c>
      <c r="O20" s="4" t="s">
        <v>504</v>
      </c>
      <c r="P20" s="4">
        <v>0.857143</v>
      </c>
      <c r="Q20" s="4">
        <v>0.0</v>
      </c>
      <c r="R20" s="4">
        <v>0.0</v>
      </c>
      <c r="S20" s="4">
        <v>5.254824</v>
      </c>
      <c r="T20" s="4">
        <v>0.012285</v>
      </c>
      <c r="U20" s="4">
        <v>3.6E-5</v>
      </c>
      <c r="V20" s="4">
        <v>7.1E-5</v>
      </c>
      <c r="W20" s="4">
        <v>0.016261</v>
      </c>
      <c r="X20" s="4">
        <v>0.01576</v>
      </c>
      <c r="Y20" s="4">
        <v>0.032021</v>
      </c>
      <c r="Z20" s="4">
        <v>0.0632</v>
      </c>
      <c r="AA20" s="4">
        <v>0.285042</v>
      </c>
      <c r="AB20" s="4">
        <v>5.539866</v>
      </c>
      <c r="AC20" s="4">
        <v>1.0</v>
      </c>
      <c r="AD20" s="4">
        <v>1.0</v>
      </c>
      <c r="AE20" s="4" t="s">
        <v>505</v>
      </c>
      <c r="AF20" s="4">
        <v>1.0</v>
      </c>
      <c r="AG20" s="4">
        <v>1.0</v>
      </c>
      <c r="AH20" s="4" t="s">
        <v>524</v>
      </c>
      <c r="AI20" s="4">
        <v>1.0</v>
      </c>
      <c r="AJ20" s="4">
        <v>0.0</v>
      </c>
      <c r="AK20" s="4"/>
      <c r="AL20" s="4">
        <v>1.0</v>
      </c>
      <c r="AM20" s="4">
        <v>0.0</v>
      </c>
      <c r="AN20" s="4"/>
      <c r="AO20" s="4">
        <v>2.0</v>
      </c>
      <c r="AP20" s="4">
        <v>1.0</v>
      </c>
      <c r="AQ20" s="4" t="s">
        <v>571</v>
      </c>
      <c r="AR20" s="4">
        <v>1.0</v>
      </c>
      <c r="AS20" s="4">
        <v>1.0</v>
      </c>
      <c r="AT20" s="4" t="s">
        <v>551</v>
      </c>
      <c r="AU20" s="4">
        <v>1.0</v>
      </c>
      <c r="AV20" s="4">
        <v>0.0</v>
      </c>
      <c r="AW20" s="4"/>
      <c r="AX20" s="4">
        <v>2.0</v>
      </c>
      <c r="AY20" s="4">
        <v>2.0</v>
      </c>
      <c r="AZ20" s="4" t="s">
        <v>572</v>
      </c>
      <c r="BA20" s="4">
        <v>2.0</v>
      </c>
      <c r="BB20" s="4">
        <v>0.0</v>
      </c>
    </row>
    <row r="21">
      <c r="A21" s="4" t="s">
        <v>222</v>
      </c>
      <c r="B21" s="4" t="s">
        <v>371</v>
      </c>
      <c r="C21" s="4" t="s">
        <v>573</v>
      </c>
      <c r="D21" s="4">
        <v>0.387124</v>
      </c>
      <c r="E21" s="4">
        <v>4.0</v>
      </c>
      <c r="F21" s="4">
        <v>0.473708</v>
      </c>
      <c r="G21" s="4">
        <v>0.3</v>
      </c>
      <c r="H21" s="4" t="s">
        <v>563</v>
      </c>
      <c r="I21" s="4" t="s">
        <v>501</v>
      </c>
      <c r="J21" s="4" t="s">
        <v>564</v>
      </c>
      <c r="K21" s="4">
        <v>0.3</v>
      </c>
      <c r="L21" s="4" t="s">
        <v>503</v>
      </c>
      <c r="M21" s="4" t="s">
        <v>521</v>
      </c>
      <c r="N21" s="4" t="s">
        <v>504</v>
      </c>
      <c r="O21" s="4" t="s">
        <v>521</v>
      </c>
      <c r="P21" s="4">
        <v>0.5</v>
      </c>
      <c r="Q21" s="4">
        <v>0.0</v>
      </c>
      <c r="R21" s="4">
        <v>0.5</v>
      </c>
      <c r="S21" s="4">
        <v>5.254824</v>
      </c>
      <c r="T21" s="4">
        <v>0.011418</v>
      </c>
      <c r="U21" s="4">
        <v>3.5E-5</v>
      </c>
      <c r="V21" s="4">
        <v>7.1E-5</v>
      </c>
      <c r="W21" s="4">
        <v>0.01049</v>
      </c>
      <c r="X21" s="4">
        <v>0.011188</v>
      </c>
      <c r="Y21" s="4">
        <v>0.021677</v>
      </c>
      <c r="Z21" s="4">
        <v>0.046551</v>
      </c>
      <c r="AA21" s="4">
        <v>0.285042</v>
      </c>
      <c r="AB21" s="4">
        <v>5.539866</v>
      </c>
      <c r="AC21" s="4">
        <v>1.0</v>
      </c>
      <c r="AD21" s="4">
        <v>1.0</v>
      </c>
      <c r="AE21" s="4" t="s">
        <v>505</v>
      </c>
      <c r="AF21" s="4">
        <v>1.0</v>
      </c>
      <c r="AG21" s="4">
        <v>0.0</v>
      </c>
      <c r="AH21" s="4"/>
      <c r="AI21" s="4">
        <v>1.0</v>
      </c>
      <c r="AJ21" s="4">
        <v>0.0</v>
      </c>
      <c r="AK21" s="4"/>
      <c r="AL21" s="4">
        <v>1.0</v>
      </c>
      <c r="AM21" s="4">
        <v>1.0</v>
      </c>
      <c r="AN21" s="4" t="s">
        <v>574</v>
      </c>
      <c r="AO21" s="4">
        <v>2.0</v>
      </c>
      <c r="AP21" s="4">
        <v>0.0</v>
      </c>
      <c r="AQ21" s="4"/>
      <c r="AR21" s="4">
        <v>1.0</v>
      </c>
      <c r="AS21" s="4">
        <v>0.0</v>
      </c>
      <c r="AT21" s="4"/>
      <c r="AU21" s="4">
        <v>1.0</v>
      </c>
      <c r="AV21" s="4">
        <v>1.0</v>
      </c>
      <c r="AW21" s="4" t="s">
        <v>508</v>
      </c>
      <c r="AX21" s="4">
        <v>2.0</v>
      </c>
      <c r="AY21" s="4">
        <v>0.0</v>
      </c>
      <c r="BA21" s="4">
        <v>2.0</v>
      </c>
      <c r="BB21" s="4">
        <v>0.0</v>
      </c>
    </row>
    <row r="22">
      <c r="A22" s="4" t="s">
        <v>227</v>
      </c>
      <c r="B22" s="4" t="s">
        <v>575</v>
      </c>
      <c r="C22" s="4" t="s">
        <v>576</v>
      </c>
      <c r="D22" s="4">
        <v>0.128993</v>
      </c>
      <c r="E22" s="4">
        <v>5.0</v>
      </c>
      <c r="F22" s="4">
        <v>0.150789</v>
      </c>
      <c r="G22" s="4">
        <v>0.1</v>
      </c>
      <c r="H22" s="4" t="s">
        <v>500</v>
      </c>
      <c r="I22" s="4" t="s">
        <v>511</v>
      </c>
      <c r="J22" s="4" t="s">
        <v>528</v>
      </c>
      <c r="K22" s="4">
        <v>0.1</v>
      </c>
      <c r="L22" s="4" t="s">
        <v>504</v>
      </c>
      <c r="M22" s="4" t="s">
        <v>503</v>
      </c>
      <c r="N22" s="4" t="s">
        <v>504</v>
      </c>
      <c r="O22" s="4" t="s">
        <v>504</v>
      </c>
      <c r="P22" s="4">
        <v>0.25</v>
      </c>
      <c r="Q22" s="4">
        <v>0.047619</v>
      </c>
      <c r="R22" s="4">
        <v>0.095238</v>
      </c>
      <c r="S22" s="4">
        <v>5.254824</v>
      </c>
      <c r="T22" s="4">
        <v>0.021241</v>
      </c>
      <c r="U22" s="4">
        <v>3.8E-5</v>
      </c>
      <c r="V22" s="4">
        <v>7.9E-5</v>
      </c>
      <c r="W22" s="4">
        <v>0.015531</v>
      </c>
      <c r="X22" s="4">
        <v>0.01646</v>
      </c>
      <c r="Y22" s="4">
        <v>0.031991</v>
      </c>
      <c r="Z22" s="4">
        <v>0.065911</v>
      </c>
      <c r="AA22" s="4">
        <v>0.326824</v>
      </c>
      <c r="AB22" s="4">
        <v>5.581648</v>
      </c>
      <c r="AC22" s="4">
        <v>2.0</v>
      </c>
      <c r="AD22" s="4">
        <v>1.0</v>
      </c>
      <c r="AE22" s="4" t="s">
        <v>505</v>
      </c>
      <c r="AF22" s="4">
        <v>1.0</v>
      </c>
      <c r="AG22" s="4">
        <v>0.0</v>
      </c>
      <c r="AH22" s="4"/>
      <c r="AI22" s="4">
        <v>1.0</v>
      </c>
      <c r="AJ22" s="4">
        <v>1.0</v>
      </c>
      <c r="AK22" s="4" t="s">
        <v>554</v>
      </c>
      <c r="AL22" s="4">
        <v>3.0</v>
      </c>
      <c r="AM22" s="4">
        <v>1.0</v>
      </c>
      <c r="AN22" s="4" t="s">
        <v>507</v>
      </c>
      <c r="AO22" s="4">
        <v>1.0</v>
      </c>
      <c r="AP22" s="4">
        <v>1.0</v>
      </c>
      <c r="AQ22" s="4" t="s">
        <v>525</v>
      </c>
      <c r="AR22" s="4">
        <v>1.0</v>
      </c>
      <c r="AS22" s="4">
        <v>0.0</v>
      </c>
      <c r="AT22" s="4"/>
      <c r="AU22" s="4">
        <v>3.0</v>
      </c>
      <c r="AV22" s="4">
        <v>1.0</v>
      </c>
      <c r="AW22" s="4" t="s">
        <v>508</v>
      </c>
      <c r="AX22" s="4">
        <v>2.0</v>
      </c>
      <c r="AY22" s="4">
        <v>2.0</v>
      </c>
      <c r="AZ22" s="4" t="s">
        <v>539</v>
      </c>
      <c r="BA22" s="4">
        <v>2.0</v>
      </c>
      <c r="BB22" s="4">
        <v>0.0</v>
      </c>
    </row>
    <row r="23">
      <c r="A23" s="4" t="s">
        <v>227</v>
      </c>
      <c r="B23" s="4" t="s">
        <v>383</v>
      </c>
      <c r="C23" s="4" t="s">
        <v>577</v>
      </c>
      <c r="D23" s="4">
        <v>0.375186</v>
      </c>
      <c r="E23" s="4">
        <v>1.0</v>
      </c>
      <c r="F23" s="4">
        <v>0.449858</v>
      </c>
      <c r="G23" s="4">
        <v>0.3</v>
      </c>
      <c r="H23" s="4" t="s">
        <v>578</v>
      </c>
      <c r="I23" s="4" t="s">
        <v>501</v>
      </c>
      <c r="J23" s="4" t="s">
        <v>579</v>
      </c>
      <c r="K23" s="4">
        <v>0.3</v>
      </c>
      <c r="L23" s="4" t="s">
        <v>503</v>
      </c>
      <c r="M23" s="4" t="s">
        <v>520</v>
      </c>
      <c r="N23" s="4" t="s">
        <v>503</v>
      </c>
      <c r="O23" s="4" t="s">
        <v>503</v>
      </c>
      <c r="P23" s="4">
        <v>0.642857</v>
      </c>
      <c r="Q23" s="4">
        <v>0.253968</v>
      </c>
      <c r="R23" s="4">
        <v>0.238095</v>
      </c>
      <c r="S23" s="4">
        <v>5.254824</v>
      </c>
      <c r="T23" s="4">
        <v>0.021376</v>
      </c>
      <c r="U23" s="4">
        <v>4.3E-5</v>
      </c>
      <c r="V23" s="4">
        <v>8.4E-5</v>
      </c>
      <c r="W23" s="4">
        <v>0.016322</v>
      </c>
      <c r="X23" s="4">
        <v>0.016486</v>
      </c>
      <c r="Y23" s="4">
        <v>0.032808</v>
      </c>
      <c r="Z23" s="4">
        <v>0.070332</v>
      </c>
      <c r="AA23" s="4">
        <v>0.326824</v>
      </c>
      <c r="AB23" s="4">
        <v>5.581648</v>
      </c>
      <c r="AC23" s="4">
        <v>2.0</v>
      </c>
      <c r="AD23" s="4">
        <v>2.0</v>
      </c>
      <c r="AE23" s="4" t="s">
        <v>580</v>
      </c>
      <c r="AF23" s="4">
        <v>1.0</v>
      </c>
      <c r="AG23" s="4">
        <v>1.0</v>
      </c>
      <c r="AH23" s="4" t="s">
        <v>506</v>
      </c>
      <c r="AI23" s="4">
        <v>1.0</v>
      </c>
      <c r="AJ23" s="4">
        <v>0.0</v>
      </c>
      <c r="AK23" s="4"/>
      <c r="AL23" s="4">
        <v>3.0</v>
      </c>
      <c r="AM23" s="4">
        <v>2.0</v>
      </c>
      <c r="AN23" s="4" t="s">
        <v>581</v>
      </c>
      <c r="AO23" s="4">
        <v>1.0</v>
      </c>
      <c r="AP23" s="4">
        <v>0.0</v>
      </c>
      <c r="AQ23" s="4"/>
      <c r="AR23" s="4">
        <v>1.0</v>
      </c>
      <c r="AS23" s="4">
        <v>1.0</v>
      </c>
      <c r="AT23" s="4" t="s">
        <v>541</v>
      </c>
      <c r="AU23" s="4">
        <v>3.0</v>
      </c>
      <c r="AV23" s="4">
        <v>2.0</v>
      </c>
      <c r="AW23" s="4" t="s">
        <v>582</v>
      </c>
      <c r="AX23" s="4">
        <v>2.0</v>
      </c>
      <c r="AY23" s="4">
        <v>0.0</v>
      </c>
      <c r="BA23" s="4">
        <v>2.0</v>
      </c>
      <c r="BB23" s="4">
        <v>1.0</v>
      </c>
      <c r="BC23" s="4" t="s">
        <v>542</v>
      </c>
    </row>
    <row r="24">
      <c r="A24" s="4" t="s">
        <v>227</v>
      </c>
      <c r="B24" s="4" t="s">
        <v>390</v>
      </c>
      <c r="C24" s="4" t="s">
        <v>583</v>
      </c>
      <c r="D24" s="4">
        <v>0.225689</v>
      </c>
      <c r="E24" s="4">
        <v>2.0</v>
      </c>
      <c r="F24" s="4">
        <v>0.350739</v>
      </c>
      <c r="G24" s="4">
        <v>0.1</v>
      </c>
      <c r="H24" s="4" t="s">
        <v>584</v>
      </c>
      <c r="I24" s="4" t="s">
        <v>511</v>
      </c>
      <c r="J24" s="4" t="s">
        <v>585</v>
      </c>
      <c r="K24" s="4">
        <v>0.1</v>
      </c>
      <c r="L24" s="4" t="s">
        <v>504</v>
      </c>
      <c r="M24" s="4" t="s">
        <v>521</v>
      </c>
      <c r="N24" s="4" t="s">
        <v>503</v>
      </c>
      <c r="O24" s="4" t="s">
        <v>503</v>
      </c>
      <c r="P24" s="4">
        <v>0.428572</v>
      </c>
      <c r="Q24" s="4">
        <v>0.253968</v>
      </c>
      <c r="R24" s="4">
        <v>0.253968</v>
      </c>
      <c r="S24" s="4">
        <v>5.254824</v>
      </c>
      <c r="T24" s="4">
        <v>0.022502</v>
      </c>
      <c r="U24" s="4">
        <v>3.8E-5</v>
      </c>
      <c r="V24" s="4">
        <v>7.6E-5</v>
      </c>
      <c r="W24" s="4">
        <v>0.015887</v>
      </c>
      <c r="X24" s="4">
        <v>0.010962</v>
      </c>
      <c r="Y24" s="4">
        <v>0.026849</v>
      </c>
      <c r="Z24" s="4">
        <v>0.067753</v>
      </c>
      <c r="AA24" s="4">
        <v>0.326824</v>
      </c>
      <c r="AB24" s="4">
        <v>5.581648</v>
      </c>
      <c r="AC24" s="4">
        <v>2.0</v>
      </c>
      <c r="AD24" s="4">
        <v>2.0</v>
      </c>
      <c r="AE24" s="4" t="s">
        <v>580</v>
      </c>
      <c r="AF24" s="4">
        <v>1.0</v>
      </c>
      <c r="AG24" s="4">
        <v>1.0</v>
      </c>
      <c r="AH24" s="4" t="s">
        <v>506</v>
      </c>
      <c r="AI24" s="4">
        <v>1.0</v>
      </c>
      <c r="AJ24" s="4">
        <v>0.0</v>
      </c>
      <c r="AK24" s="4"/>
      <c r="AL24" s="4">
        <v>3.0</v>
      </c>
      <c r="AM24" s="4">
        <v>2.0</v>
      </c>
      <c r="AN24" s="4" t="s">
        <v>581</v>
      </c>
      <c r="AO24" s="4">
        <v>1.0</v>
      </c>
      <c r="AP24" s="4">
        <v>0.0</v>
      </c>
      <c r="AQ24" s="4"/>
      <c r="AR24" s="4">
        <v>1.0</v>
      </c>
      <c r="AS24" s="4">
        <v>1.0</v>
      </c>
      <c r="AT24" s="4" t="s">
        <v>541</v>
      </c>
      <c r="AU24" s="4">
        <v>3.0</v>
      </c>
      <c r="AV24" s="4">
        <v>2.0</v>
      </c>
      <c r="AW24" s="4" t="s">
        <v>582</v>
      </c>
      <c r="AX24" s="4">
        <v>2.0</v>
      </c>
      <c r="AY24" s="4">
        <v>0.0</v>
      </c>
      <c r="BA24" s="4">
        <v>2.0</v>
      </c>
      <c r="BB24" s="4">
        <v>2.0</v>
      </c>
      <c r="BC24" s="4" t="s">
        <v>546</v>
      </c>
    </row>
    <row r="25">
      <c r="A25" s="4" t="s">
        <v>227</v>
      </c>
      <c r="B25" s="4" t="s">
        <v>396</v>
      </c>
      <c r="C25" s="4" t="s">
        <v>586</v>
      </c>
      <c r="D25" s="4">
        <v>0.164574</v>
      </c>
      <c r="E25" s="4">
        <v>4.0</v>
      </c>
      <c r="F25" s="4">
        <v>0.150789</v>
      </c>
      <c r="G25" s="4">
        <v>0.3</v>
      </c>
      <c r="H25" s="4" t="s">
        <v>500</v>
      </c>
      <c r="I25" s="4" t="s">
        <v>501</v>
      </c>
      <c r="J25" s="4" t="s">
        <v>502</v>
      </c>
      <c r="K25" s="4">
        <v>0.2</v>
      </c>
      <c r="L25" s="4" t="s">
        <v>503</v>
      </c>
      <c r="M25" s="4" t="s">
        <v>503</v>
      </c>
      <c r="N25" s="4" t="s">
        <v>504</v>
      </c>
      <c r="O25" s="4" t="s">
        <v>504</v>
      </c>
      <c r="P25" s="4">
        <v>0.214286</v>
      </c>
      <c r="Q25" s="4">
        <v>0.111111</v>
      </c>
      <c r="R25" s="4">
        <v>0.111111</v>
      </c>
      <c r="S25" s="4">
        <v>5.254824</v>
      </c>
      <c r="T25" s="4">
        <v>0.019987</v>
      </c>
      <c r="U25" s="4">
        <v>1.85E-4</v>
      </c>
      <c r="V25" s="4">
        <v>8.6E-5</v>
      </c>
      <c r="W25" s="4">
        <v>0.013042</v>
      </c>
      <c r="X25" s="4">
        <v>0.011868</v>
      </c>
      <c r="Y25" s="4">
        <v>0.024909</v>
      </c>
      <c r="Z25" s="4">
        <v>0.061318</v>
      </c>
      <c r="AA25" s="4">
        <v>0.326824</v>
      </c>
      <c r="AB25" s="4">
        <v>5.581648</v>
      </c>
      <c r="AC25" s="4">
        <v>2.0</v>
      </c>
      <c r="AD25" s="4">
        <v>1.0</v>
      </c>
      <c r="AE25" s="4" t="s">
        <v>524</v>
      </c>
      <c r="AF25" s="4">
        <v>1.0</v>
      </c>
      <c r="AG25" s="4">
        <v>1.0</v>
      </c>
      <c r="AH25" s="4" t="s">
        <v>506</v>
      </c>
      <c r="AI25" s="4">
        <v>1.0</v>
      </c>
      <c r="AJ25" s="4">
        <v>0.0</v>
      </c>
      <c r="AK25" s="4"/>
      <c r="AL25" s="4">
        <v>3.0</v>
      </c>
      <c r="AM25" s="4">
        <v>1.0</v>
      </c>
      <c r="AN25" s="4" t="s">
        <v>551</v>
      </c>
      <c r="AO25" s="4">
        <v>1.0</v>
      </c>
      <c r="AP25" s="4">
        <v>0.0</v>
      </c>
      <c r="AQ25" s="4"/>
      <c r="AR25" s="4">
        <v>1.0</v>
      </c>
      <c r="AS25" s="4">
        <v>1.0</v>
      </c>
      <c r="AT25" s="4" t="s">
        <v>541</v>
      </c>
      <c r="AU25" s="4">
        <v>3.0</v>
      </c>
      <c r="AV25" s="4">
        <v>1.0</v>
      </c>
      <c r="AW25" s="4" t="s">
        <v>514</v>
      </c>
      <c r="AX25" s="4">
        <v>2.0</v>
      </c>
      <c r="AY25" s="4">
        <v>0.0</v>
      </c>
      <c r="BA25" s="4">
        <v>2.0</v>
      </c>
      <c r="BB25" s="4">
        <v>2.0</v>
      </c>
      <c r="BC25" s="4" t="s">
        <v>546</v>
      </c>
    </row>
    <row r="26">
      <c r="A26" s="4" t="s">
        <v>227</v>
      </c>
      <c r="B26" s="4" t="s">
        <v>402</v>
      </c>
      <c r="C26" s="4" t="s">
        <v>587</v>
      </c>
      <c r="D26" s="4">
        <v>0.195508</v>
      </c>
      <c r="E26" s="4">
        <v>3.0</v>
      </c>
      <c r="F26" s="4">
        <v>0.289675</v>
      </c>
      <c r="G26" s="4">
        <v>0.1</v>
      </c>
      <c r="H26" s="4" t="s">
        <v>588</v>
      </c>
      <c r="I26" s="4" t="s">
        <v>511</v>
      </c>
      <c r="J26" s="4" t="s">
        <v>589</v>
      </c>
      <c r="K26" s="4">
        <v>0.1</v>
      </c>
      <c r="L26" s="4" t="s">
        <v>504</v>
      </c>
      <c r="M26" s="4" t="s">
        <v>503</v>
      </c>
      <c r="N26" s="4" t="s">
        <v>504</v>
      </c>
      <c r="O26" s="4" t="s">
        <v>503</v>
      </c>
      <c r="P26" s="4">
        <v>0.214286</v>
      </c>
      <c r="Q26" s="4">
        <v>0.0</v>
      </c>
      <c r="R26" s="4">
        <v>0.238095</v>
      </c>
      <c r="S26" s="4">
        <v>5.254824</v>
      </c>
      <c r="T26" s="4">
        <v>0.019355</v>
      </c>
      <c r="U26" s="4">
        <v>3.7E-5</v>
      </c>
      <c r="V26" s="4">
        <v>7.5E-5</v>
      </c>
      <c r="W26" s="4">
        <v>0.0123</v>
      </c>
      <c r="X26" s="4">
        <v>0.01009</v>
      </c>
      <c r="Y26" s="4">
        <v>0.02239</v>
      </c>
      <c r="Z26" s="4">
        <v>0.058132</v>
      </c>
      <c r="AA26" s="4">
        <v>0.326824</v>
      </c>
      <c r="AB26" s="4">
        <v>5.581648</v>
      </c>
      <c r="AC26" s="4">
        <v>2.0</v>
      </c>
      <c r="AD26" s="4">
        <v>1.0</v>
      </c>
      <c r="AE26" s="4" t="s">
        <v>505</v>
      </c>
      <c r="AF26" s="4">
        <v>1.0</v>
      </c>
      <c r="AG26" s="4">
        <v>1.0</v>
      </c>
      <c r="AH26" s="4" t="s">
        <v>506</v>
      </c>
      <c r="AI26" s="4">
        <v>1.0</v>
      </c>
      <c r="AJ26" s="4">
        <v>0.0</v>
      </c>
      <c r="AK26" s="4"/>
      <c r="AL26" s="4">
        <v>3.0</v>
      </c>
      <c r="AM26" s="4">
        <v>0.0</v>
      </c>
      <c r="AN26" s="4"/>
      <c r="AO26" s="4">
        <v>1.0</v>
      </c>
      <c r="AP26" s="4">
        <v>0.0</v>
      </c>
      <c r="AQ26" s="4"/>
      <c r="AR26" s="4">
        <v>1.0</v>
      </c>
      <c r="AS26" s="4">
        <v>1.0</v>
      </c>
      <c r="AT26" s="4" t="s">
        <v>541</v>
      </c>
      <c r="AU26" s="4">
        <v>3.0</v>
      </c>
      <c r="AV26" s="4">
        <v>2.0</v>
      </c>
      <c r="AW26" s="4" t="s">
        <v>513</v>
      </c>
      <c r="AX26" s="4">
        <v>2.0</v>
      </c>
      <c r="AY26" s="4">
        <v>0.0</v>
      </c>
      <c r="BA26" s="4">
        <v>2.0</v>
      </c>
      <c r="BB26" s="4">
        <v>1.0</v>
      </c>
      <c r="BC26" s="4" t="s">
        <v>542</v>
      </c>
    </row>
    <row r="27">
      <c r="A27" s="4" t="s">
        <v>234</v>
      </c>
      <c r="B27" s="4" t="s">
        <v>590</v>
      </c>
      <c r="C27" s="4" t="s">
        <v>591</v>
      </c>
      <c r="D27" s="4">
        <v>0.254395</v>
      </c>
      <c r="E27" s="4">
        <v>2.0</v>
      </c>
      <c r="F27" s="4">
        <v>0.249664</v>
      </c>
      <c r="G27" s="4">
        <v>0.3</v>
      </c>
      <c r="H27" s="4" t="s">
        <v>531</v>
      </c>
      <c r="I27" s="4" t="s">
        <v>501</v>
      </c>
      <c r="J27" s="4" t="s">
        <v>592</v>
      </c>
      <c r="K27" s="4">
        <v>0.2</v>
      </c>
      <c r="L27" s="4" t="s">
        <v>503</v>
      </c>
      <c r="M27" s="4" t="s">
        <v>521</v>
      </c>
      <c r="N27" s="4" t="s">
        <v>504</v>
      </c>
      <c r="O27" s="4" t="s">
        <v>504</v>
      </c>
      <c r="P27" s="4">
        <v>0.428572</v>
      </c>
      <c r="Q27" s="4">
        <v>0.0</v>
      </c>
      <c r="R27" s="4">
        <v>0.0</v>
      </c>
      <c r="S27" s="4">
        <v>5.254824</v>
      </c>
      <c r="T27" s="4">
        <v>0.010076</v>
      </c>
      <c r="U27" s="4">
        <v>3.9E-5</v>
      </c>
      <c r="V27" s="4">
        <v>7.7E-5</v>
      </c>
      <c r="W27" s="4">
        <v>0.014783</v>
      </c>
      <c r="X27" s="4">
        <v>0.008968</v>
      </c>
      <c r="Y27" s="4">
        <v>0.02375</v>
      </c>
      <c r="Z27" s="4">
        <v>0.047542</v>
      </c>
      <c r="AA27" s="4">
        <v>0.293823</v>
      </c>
      <c r="AB27" s="4">
        <v>5.548647</v>
      </c>
      <c r="AC27" s="4">
        <v>2.0</v>
      </c>
      <c r="AD27" s="4">
        <v>2.0</v>
      </c>
      <c r="AE27" s="4" t="s">
        <v>593</v>
      </c>
      <c r="AF27" s="4">
        <v>1.0</v>
      </c>
      <c r="AG27" s="4">
        <v>1.0</v>
      </c>
      <c r="AH27" s="4" t="s">
        <v>594</v>
      </c>
      <c r="AI27" s="4">
        <v>1.0</v>
      </c>
      <c r="AJ27" s="4">
        <v>1.0</v>
      </c>
      <c r="AK27" s="4" t="s">
        <v>524</v>
      </c>
      <c r="AL27" s="4">
        <v>2.0</v>
      </c>
      <c r="AM27" s="4">
        <v>2.0</v>
      </c>
      <c r="AN27" s="4" t="s">
        <v>595</v>
      </c>
      <c r="AO27" s="4">
        <v>1.0</v>
      </c>
      <c r="AP27" s="4">
        <v>1.0</v>
      </c>
      <c r="AQ27" s="4" t="s">
        <v>596</v>
      </c>
      <c r="AR27" s="4">
        <v>3.0</v>
      </c>
      <c r="AS27" s="4">
        <v>3.0</v>
      </c>
      <c r="AT27" s="4" t="s">
        <v>597</v>
      </c>
      <c r="AU27" s="4">
        <v>1.0</v>
      </c>
      <c r="AV27" s="4">
        <v>1.0</v>
      </c>
      <c r="AW27" s="4" t="s">
        <v>598</v>
      </c>
      <c r="AX27" s="4">
        <v>1.0</v>
      </c>
      <c r="AY27" s="4">
        <v>1.0</v>
      </c>
      <c r="AZ27" s="4" t="s">
        <v>555</v>
      </c>
      <c r="BA27" s="4">
        <v>1.0</v>
      </c>
      <c r="BB27" s="4">
        <v>1.0</v>
      </c>
      <c r="BC27" s="4" t="s">
        <v>514</v>
      </c>
    </row>
    <row r="28">
      <c r="A28" s="4" t="s">
        <v>234</v>
      </c>
      <c r="B28" s="4" t="s">
        <v>414</v>
      </c>
      <c r="C28" s="4" t="s">
        <v>599</v>
      </c>
      <c r="D28" s="4">
        <v>0.275664</v>
      </c>
      <c r="E28" s="4">
        <v>1.0</v>
      </c>
      <c r="F28" s="4">
        <v>0.249664</v>
      </c>
      <c r="G28" s="4">
        <v>0.5</v>
      </c>
      <c r="H28" s="4" t="s">
        <v>531</v>
      </c>
      <c r="I28" s="4" t="s">
        <v>532</v>
      </c>
      <c r="J28" s="4" t="s">
        <v>533</v>
      </c>
      <c r="K28" s="4">
        <v>0.5</v>
      </c>
      <c r="L28" s="4" t="s">
        <v>521</v>
      </c>
      <c r="M28" s="4" t="s">
        <v>521</v>
      </c>
      <c r="N28" s="4" t="s">
        <v>504</v>
      </c>
      <c r="O28" s="4" t="s">
        <v>504</v>
      </c>
      <c r="P28" s="4">
        <v>0.428572</v>
      </c>
      <c r="Q28" s="4">
        <v>0.0</v>
      </c>
      <c r="R28" s="4">
        <v>0.0</v>
      </c>
      <c r="S28" s="4">
        <v>5.254824</v>
      </c>
      <c r="T28" s="4">
        <v>0.020596</v>
      </c>
      <c r="U28" s="4">
        <v>3.6E-5</v>
      </c>
      <c r="V28" s="4">
        <v>7.4E-5</v>
      </c>
      <c r="W28" s="4">
        <v>0.010941</v>
      </c>
      <c r="X28" s="4">
        <v>0.010486</v>
      </c>
      <c r="Y28" s="4">
        <v>0.021427</v>
      </c>
      <c r="Z28" s="4">
        <v>0.055546</v>
      </c>
      <c r="AA28" s="4">
        <v>0.293823</v>
      </c>
      <c r="AB28" s="4">
        <v>5.548647</v>
      </c>
      <c r="AC28" s="4">
        <v>2.0</v>
      </c>
      <c r="AD28" s="4">
        <v>2.0</v>
      </c>
      <c r="AE28" s="4" t="s">
        <v>593</v>
      </c>
      <c r="AF28" s="4">
        <v>1.0</v>
      </c>
      <c r="AG28" s="4">
        <v>1.0</v>
      </c>
      <c r="AH28" s="4" t="s">
        <v>594</v>
      </c>
      <c r="AI28" s="4">
        <v>1.0</v>
      </c>
      <c r="AJ28" s="4">
        <v>1.0</v>
      </c>
      <c r="AK28" s="4" t="s">
        <v>524</v>
      </c>
      <c r="AL28" s="4">
        <v>2.0</v>
      </c>
      <c r="AM28" s="4">
        <v>2.0</v>
      </c>
      <c r="AN28" s="4" t="s">
        <v>595</v>
      </c>
      <c r="AO28" s="4">
        <v>1.0</v>
      </c>
      <c r="AP28" s="4">
        <v>1.0</v>
      </c>
      <c r="AQ28" s="4" t="s">
        <v>596</v>
      </c>
      <c r="AR28" s="4">
        <v>3.0</v>
      </c>
      <c r="AS28" s="4">
        <v>3.0</v>
      </c>
      <c r="AT28" s="4" t="s">
        <v>597</v>
      </c>
      <c r="AU28" s="4">
        <v>1.0</v>
      </c>
      <c r="AV28" s="4">
        <v>1.0</v>
      </c>
      <c r="AW28" s="4" t="s">
        <v>598</v>
      </c>
      <c r="AX28" s="4">
        <v>1.0</v>
      </c>
      <c r="AY28" s="4">
        <v>1.0</v>
      </c>
      <c r="AZ28" s="4" t="s">
        <v>555</v>
      </c>
      <c r="BA28" s="4">
        <v>1.0</v>
      </c>
      <c r="BB28" s="4">
        <v>1.0</v>
      </c>
      <c r="BC28" s="4" t="s">
        <v>514</v>
      </c>
    </row>
    <row r="29">
      <c r="A29" s="4" t="s">
        <v>234</v>
      </c>
      <c r="B29" s="4" t="s">
        <v>421</v>
      </c>
      <c r="C29" s="4" t="s">
        <v>600</v>
      </c>
      <c r="D29" s="4">
        <v>0.254395</v>
      </c>
      <c r="E29" s="4">
        <v>3.0</v>
      </c>
      <c r="F29" s="4">
        <v>0.249664</v>
      </c>
      <c r="G29" s="4">
        <v>0.3</v>
      </c>
      <c r="H29" s="4" t="s">
        <v>531</v>
      </c>
      <c r="I29" s="4" t="s">
        <v>501</v>
      </c>
      <c r="J29" s="4" t="s">
        <v>592</v>
      </c>
      <c r="K29" s="4">
        <v>0.2</v>
      </c>
      <c r="L29" s="4" t="s">
        <v>503</v>
      </c>
      <c r="M29" s="4" t="s">
        <v>521</v>
      </c>
      <c r="N29" s="4" t="s">
        <v>504</v>
      </c>
      <c r="O29" s="4" t="s">
        <v>504</v>
      </c>
      <c r="P29" s="4">
        <v>0.428572</v>
      </c>
      <c r="Q29" s="4">
        <v>0.0</v>
      </c>
      <c r="R29" s="4">
        <v>0.0</v>
      </c>
      <c r="S29" s="4">
        <v>5.254824</v>
      </c>
      <c r="T29" s="4">
        <v>0.019091</v>
      </c>
      <c r="U29" s="4">
        <v>3.7E-5</v>
      </c>
      <c r="V29" s="4">
        <v>7.7E-5</v>
      </c>
      <c r="W29" s="4">
        <v>0.010917</v>
      </c>
      <c r="X29" s="4">
        <v>0.009746</v>
      </c>
      <c r="Y29" s="4">
        <v>0.020663</v>
      </c>
      <c r="Z29" s="4">
        <v>0.056261</v>
      </c>
      <c r="AA29" s="4">
        <v>0.293823</v>
      </c>
      <c r="AB29" s="4">
        <v>5.548647</v>
      </c>
      <c r="AC29" s="4">
        <v>2.0</v>
      </c>
      <c r="AD29" s="4">
        <v>2.0</v>
      </c>
      <c r="AE29" s="4" t="s">
        <v>593</v>
      </c>
      <c r="AF29" s="4">
        <v>1.0</v>
      </c>
      <c r="AG29" s="4">
        <v>1.0</v>
      </c>
      <c r="AH29" s="4" t="s">
        <v>594</v>
      </c>
      <c r="AI29" s="4">
        <v>1.0</v>
      </c>
      <c r="AJ29" s="4">
        <v>1.0</v>
      </c>
      <c r="AK29" s="4" t="s">
        <v>524</v>
      </c>
      <c r="AL29" s="4">
        <v>2.0</v>
      </c>
      <c r="AM29" s="4">
        <v>2.0</v>
      </c>
      <c r="AN29" s="4" t="s">
        <v>595</v>
      </c>
      <c r="AO29" s="4">
        <v>1.0</v>
      </c>
      <c r="AP29" s="4">
        <v>1.0</v>
      </c>
      <c r="AQ29" s="4" t="s">
        <v>596</v>
      </c>
      <c r="AR29" s="4">
        <v>3.0</v>
      </c>
      <c r="AS29" s="4">
        <v>3.0</v>
      </c>
      <c r="AT29" s="4" t="s">
        <v>597</v>
      </c>
      <c r="AU29" s="4">
        <v>1.0</v>
      </c>
      <c r="AV29" s="4">
        <v>1.0</v>
      </c>
      <c r="AW29" s="4" t="s">
        <v>598</v>
      </c>
      <c r="AX29" s="4">
        <v>1.0</v>
      </c>
      <c r="AY29" s="4">
        <v>1.0</v>
      </c>
      <c r="AZ29" s="4" t="s">
        <v>555</v>
      </c>
      <c r="BA29" s="4">
        <v>1.0</v>
      </c>
      <c r="BB29" s="4">
        <v>1.0</v>
      </c>
      <c r="BC29" s="4" t="s">
        <v>514</v>
      </c>
    </row>
    <row r="30">
      <c r="A30" s="4" t="s">
        <v>234</v>
      </c>
      <c r="B30" s="4" t="s">
        <v>426</v>
      </c>
      <c r="C30" s="4" t="s">
        <v>601</v>
      </c>
      <c r="D30" s="4">
        <v>0.15454</v>
      </c>
      <c r="E30" s="4">
        <v>4.0</v>
      </c>
      <c r="F30" s="4">
        <v>0.10468</v>
      </c>
      <c r="G30" s="4">
        <v>0.5</v>
      </c>
      <c r="H30" s="4" t="s">
        <v>510</v>
      </c>
      <c r="I30" s="4" t="s">
        <v>532</v>
      </c>
      <c r="J30" s="4" t="s">
        <v>536</v>
      </c>
      <c r="K30" s="4">
        <v>0.5</v>
      </c>
      <c r="L30" s="4" t="s">
        <v>521</v>
      </c>
      <c r="M30" s="4" t="s">
        <v>504</v>
      </c>
      <c r="N30" s="4" t="s">
        <v>504</v>
      </c>
      <c r="O30" s="4" t="s">
        <v>504</v>
      </c>
      <c r="P30" s="4">
        <v>0.0</v>
      </c>
      <c r="Q30" s="4">
        <v>0.0</v>
      </c>
      <c r="R30" s="4">
        <v>0.0</v>
      </c>
      <c r="S30" s="4">
        <v>5.254824</v>
      </c>
      <c r="T30" s="4">
        <v>0.021218</v>
      </c>
      <c r="U30" s="4">
        <v>4.4E-5</v>
      </c>
      <c r="V30" s="4">
        <v>9.0E-5</v>
      </c>
      <c r="W30" s="4">
        <v>0.009895</v>
      </c>
      <c r="X30" s="4">
        <v>0.012192</v>
      </c>
      <c r="Y30" s="4">
        <v>0.022087</v>
      </c>
      <c r="Z30" s="4">
        <v>0.064419</v>
      </c>
      <c r="AA30" s="4">
        <v>0.293823</v>
      </c>
      <c r="AB30" s="4">
        <v>5.548647</v>
      </c>
      <c r="AC30" s="4">
        <v>2.0</v>
      </c>
      <c r="AD30" s="4">
        <v>0.0</v>
      </c>
      <c r="AE30" s="4"/>
      <c r="AF30" s="4">
        <v>1.0</v>
      </c>
      <c r="AG30" s="4">
        <v>0.0</v>
      </c>
      <c r="AH30" s="4"/>
      <c r="AI30" s="4">
        <v>1.0</v>
      </c>
      <c r="AJ30" s="4">
        <v>0.0</v>
      </c>
      <c r="AK30" s="4"/>
      <c r="AL30" s="4">
        <v>2.0</v>
      </c>
      <c r="AM30" s="4">
        <v>0.0</v>
      </c>
      <c r="AN30" s="4"/>
      <c r="AO30" s="4">
        <v>1.0</v>
      </c>
      <c r="AP30" s="4">
        <v>0.0</v>
      </c>
      <c r="AQ30" s="4"/>
      <c r="AR30" s="4">
        <v>3.0</v>
      </c>
      <c r="AS30" s="4">
        <v>0.0</v>
      </c>
      <c r="AT30" s="4"/>
      <c r="AU30" s="4">
        <v>1.0</v>
      </c>
      <c r="AV30" s="4">
        <v>0.0</v>
      </c>
      <c r="AW30" s="4"/>
      <c r="AX30" s="4">
        <v>1.0</v>
      </c>
      <c r="AY30" s="4">
        <v>0.0</v>
      </c>
      <c r="BA30" s="4">
        <v>1.0</v>
      </c>
      <c r="BB30" s="4">
        <v>0.0</v>
      </c>
    </row>
    <row r="31">
      <c r="A31" s="4" t="s">
        <v>234</v>
      </c>
      <c r="B31" s="4" t="s">
        <v>431</v>
      </c>
      <c r="C31" s="4" t="s">
        <v>602</v>
      </c>
      <c r="D31" s="4">
        <v>0.122672</v>
      </c>
      <c r="E31" s="4">
        <v>5.0</v>
      </c>
      <c r="F31" s="4">
        <v>0.10468</v>
      </c>
      <c r="G31" s="4">
        <v>0.3</v>
      </c>
      <c r="H31" s="4" t="s">
        <v>510</v>
      </c>
      <c r="I31" s="4" t="s">
        <v>501</v>
      </c>
      <c r="J31" s="4" t="s">
        <v>516</v>
      </c>
      <c r="K31" s="4">
        <v>0.2</v>
      </c>
      <c r="L31" s="4" t="s">
        <v>503</v>
      </c>
      <c r="M31" s="4" t="s">
        <v>504</v>
      </c>
      <c r="N31" s="4" t="s">
        <v>504</v>
      </c>
      <c r="O31" s="4" t="s">
        <v>504</v>
      </c>
      <c r="P31" s="4">
        <v>0.0</v>
      </c>
      <c r="Q31" s="4">
        <v>0.0</v>
      </c>
      <c r="R31" s="4">
        <v>0.0</v>
      </c>
      <c r="S31" s="4">
        <v>5.254824</v>
      </c>
      <c r="T31" s="4">
        <v>0.0245</v>
      </c>
      <c r="U31" s="4">
        <v>3.2E-5</v>
      </c>
      <c r="V31" s="4">
        <v>6.7E-5</v>
      </c>
      <c r="W31" s="4">
        <v>0.011147</v>
      </c>
      <c r="X31" s="4">
        <v>0.009613</v>
      </c>
      <c r="Y31" s="4">
        <v>0.02076</v>
      </c>
      <c r="Z31" s="4">
        <v>0.066305</v>
      </c>
      <c r="AA31" s="4">
        <v>0.293823</v>
      </c>
      <c r="AB31" s="4">
        <v>5.548647</v>
      </c>
      <c r="AC31" s="4">
        <v>2.0</v>
      </c>
      <c r="AD31" s="4">
        <v>0.0</v>
      </c>
      <c r="AE31" s="4"/>
      <c r="AF31" s="4">
        <v>1.0</v>
      </c>
      <c r="AG31" s="4">
        <v>0.0</v>
      </c>
      <c r="AH31" s="4"/>
      <c r="AI31" s="4">
        <v>1.0</v>
      </c>
      <c r="AJ31" s="4">
        <v>0.0</v>
      </c>
      <c r="AK31" s="4"/>
      <c r="AL31" s="4">
        <v>2.0</v>
      </c>
      <c r="AM31" s="4">
        <v>0.0</v>
      </c>
      <c r="AN31" s="4"/>
      <c r="AO31" s="4">
        <v>1.0</v>
      </c>
      <c r="AP31" s="4">
        <v>0.0</v>
      </c>
      <c r="AQ31" s="4"/>
      <c r="AR31" s="4">
        <v>3.0</v>
      </c>
      <c r="AS31" s="4">
        <v>0.0</v>
      </c>
      <c r="AT31" s="4"/>
      <c r="AU31" s="4">
        <v>1.0</v>
      </c>
      <c r="AV31" s="4">
        <v>0.0</v>
      </c>
      <c r="AW31" s="4"/>
      <c r="AX31" s="4">
        <v>1.0</v>
      </c>
      <c r="AY31" s="4">
        <v>0.0</v>
      </c>
      <c r="BA31" s="4">
        <v>1.0</v>
      </c>
      <c r="BB31" s="4">
        <v>0.0</v>
      </c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</row>
    <row r="64">
      <c r="A64" s="4"/>
      <c r="B64" s="4"/>
      <c r="C64" s="4"/>
      <c r="D64" s="42"/>
      <c r="E64" s="4"/>
      <c r="F64" s="42"/>
      <c r="G64" s="42"/>
      <c r="H64" s="4"/>
      <c r="I64" s="42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</row>
    <row r="65">
      <c r="A65" s="4"/>
      <c r="B65" s="4"/>
      <c r="C65" s="4"/>
      <c r="D65" s="42"/>
      <c r="E65" s="4"/>
      <c r="F65" s="42"/>
      <c r="G65" s="42"/>
      <c r="H65" s="4"/>
      <c r="I65" s="42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B65" s="4"/>
      <c r="AC65" s="4"/>
      <c r="AE65" s="4"/>
      <c r="AF65" s="4"/>
      <c r="AH65" s="4"/>
      <c r="AI65" s="4"/>
      <c r="AK65" s="4"/>
      <c r="AL65" s="4"/>
      <c r="AN65" s="4"/>
      <c r="AO65" s="4"/>
      <c r="AQ65" s="4"/>
      <c r="AR65" s="4"/>
      <c r="AT65" s="4"/>
      <c r="AU65" s="4"/>
      <c r="AW65" s="4"/>
      <c r="AX65" s="4"/>
    </row>
    <row r="66">
      <c r="A66" s="4"/>
      <c r="B66" s="4"/>
      <c r="C66" s="4"/>
      <c r="D66" s="42"/>
      <c r="E66" s="4"/>
      <c r="F66" s="42"/>
      <c r="G66" s="42"/>
      <c r="H66" s="4"/>
      <c r="I66" s="42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B66" s="4"/>
      <c r="AC66" s="4"/>
      <c r="AE66" s="4"/>
      <c r="AF66" s="4"/>
      <c r="AH66" s="4"/>
      <c r="AI66" s="4"/>
      <c r="AK66" s="4"/>
      <c r="AL66" s="4"/>
      <c r="AN66" s="4"/>
      <c r="AO66" s="4"/>
      <c r="AQ66" s="4"/>
      <c r="AR66" s="4"/>
      <c r="AT66" s="4"/>
      <c r="AU66" s="4"/>
      <c r="AW66" s="4"/>
      <c r="AX66" s="4"/>
    </row>
    <row r="67">
      <c r="A67" s="4"/>
      <c r="D67" s="43"/>
      <c r="F67" s="43"/>
      <c r="G67" s="43"/>
      <c r="I67" s="43"/>
    </row>
    <row r="68">
      <c r="A68" s="4"/>
      <c r="B68" s="4"/>
      <c r="C68" s="4"/>
      <c r="D68" s="42"/>
      <c r="E68" s="4"/>
      <c r="F68" s="42"/>
      <c r="G68" s="42"/>
      <c r="H68" s="4"/>
      <c r="I68" s="42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</row>
    <row r="69">
      <c r="A69" s="4"/>
      <c r="B69" s="4"/>
      <c r="C69" s="4"/>
      <c r="D69" s="42"/>
      <c r="E69" s="4"/>
      <c r="F69" s="42"/>
      <c r="G69" s="42"/>
      <c r="H69" s="4"/>
      <c r="I69" s="42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E69" s="4"/>
      <c r="AF69" s="4"/>
      <c r="AG69" s="4"/>
      <c r="AH69" s="4"/>
      <c r="AI69" s="4"/>
      <c r="AK69" s="4"/>
      <c r="AL69" s="4"/>
      <c r="AM69" s="4"/>
      <c r="AN69" s="4"/>
      <c r="AO69" s="4"/>
      <c r="AQ69" s="4"/>
      <c r="AR69" s="4"/>
      <c r="AT69" s="4"/>
      <c r="AU69" s="4"/>
      <c r="AV69" s="4"/>
      <c r="AW69" s="4"/>
      <c r="AX69" s="4"/>
    </row>
    <row r="70">
      <c r="A70" s="4"/>
      <c r="B70" s="4"/>
      <c r="C70" s="4"/>
      <c r="D70" s="42"/>
      <c r="E70" s="4"/>
      <c r="F70" s="42"/>
      <c r="G70" s="42"/>
      <c r="H70" s="4"/>
      <c r="I70" s="42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E70" s="4"/>
      <c r="AF70" s="4"/>
      <c r="AH70" s="4"/>
      <c r="AI70" s="4"/>
      <c r="AK70" s="4"/>
      <c r="AL70" s="4"/>
      <c r="AM70" s="4"/>
      <c r="AN70" s="4"/>
      <c r="AO70" s="4"/>
      <c r="AQ70" s="4"/>
      <c r="AR70" s="4"/>
      <c r="AT70" s="4"/>
      <c r="AU70" s="4"/>
      <c r="AV70" s="4"/>
      <c r="AW70" s="4"/>
      <c r="AX70" s="4"/>
      <c r="AY70" s="4"/>
    </row>
    <row r="71">
      <c r="A71" s="4"/>
      <c r="B71" s="4"/>
      <c r="C71" s="4"/>
      <c r="D71" s="42"/>
      <c r="E71" s="4"/>
      <c r="F71" s="42"/>
      <c r="G71" s="42"/>
      <c r="H71" s="4"/>
      <c r="I71" s="42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E71" s="4"/>
      <c r="AF71" s="4"/>
      <c r="AG71" s="4"/>
      <c r="AH71" s="4"/>
      <c r="AI71" s="4"/>
      <c r="AK71" s="4"/>
      <c r="AL71" s="4"/>
      <c r="AM71" s="4"/>
      <c r="AN71" s="4"/>
      <c r="AO71" s="4"/>
      <c r="AQ71" s="4"/>
      <c r="AR71" s="4"/>
      <c r="AT71" s="4"/>
      <c r="AU71" s="4"/>
      <c r="AV71" s="4"/>
      <c r="AW71" s="4"/>
      <c r="AX71" s="4"/>
    </row>
    <row r="72">
      <c r="A72" s="4"/>
      <c r="B72" s="4"/>
      <c r="C72" s="4"/>
      <c r="D72" s="42"/>
      <c r="E72" s="4"/>
      <c r="F72" s="42"/>
      <c r="G72" s="42"/>
      <c r="H72" s="4"/>
      <c r="I72" s="42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H72" s="4"/>
      <c r="AI72" s="4"/>
      <c r="AJ72" s="4"/>
      <c r="AK72" s="4"/>
      <c r="AL72" s="4"/>
      <c r="AN72" s="4"/>
      <c r="AO72" s="4"/>
      <c r="AQ72" s="4"/>
      <c r="AR72" s="4"/>
      <c r="AS72" s="4"/>
      <c r="AT72" s="4"/>
      <c r="AU72" s="4"/>
      <c r="AV72" s="4"/>
      <c r="AW72" s="4"/>
      <c r="AX72" s="4"/>
      <c r="AY72" s="4"/>
    </row>
    <row r="73">
      <c r="A73" s="4"/>
      <c r="B73" s="4"/>
      <c r="C73" s="4"/>
      <c r="D73" s="42"/>
      <c r="E73" s="4"/>
      <c r="F73" s="42"/>
      <c r="G73" s="42"/>
      <c r="H73" s="4"/>
      <c r="I73" s="42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E73" s="4"/>
      <c r="AF73" s="4"/>
      <c r="AG73" s="4"/>
      <c r="AH73" s="4"/>
      <c r="AI73" s="4"/>
      <c r="AK73" s="4"/>
      <c r="AL73" s="4"/>
      <c r="AM73" s="4"/>
      <c r="AN73" s="4"/>
      <c r="AO73" s="4"/>
      <c r="AQ73" s="4"/>
      <c r="AR73" s="4"/>
      <c r="AT73" s="4"/>
      <c r="AU73" s="4"/>
      <c r="AV73" s="4"/>
      <c r="AW73" s="4"/>
      <c r="AX73" s="4"/>
    </row>
    <row r="74">
      <c r="A74" s="4"/>
      <c r="B74" s="4"/>
      <c r="C74" s="4"/>
      <c r="D74" s="42"/>
      <c r="E74" s="4"/>
      <c r="F74" s="42"/>
      <c r="G74" s="42"/>
      <c r="H74" s="4"/>
      <c r="I74" s="42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K74" s="4"/>
      <c r="AL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</row>
    <row r="75">
      <c r="A75" s="4"/>
      <c r="B75" s="4"/>
      <c r="C75" s="4"/>
      <c r="D75" s="42"/>
      <c r="E75" s="4"/>
      <c r="F75" s="42"/>
      <c r="G75" s="42"/>
      <c r="H75" s="4"/>
      <c r="I75" s="42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B75" s="4"/>
      <c r="AC75" s="4"/>
      <c r="AD75" s="4"/>
      <c r="AE75" s="4"/>
      <c r="AF75" s="4"/>
      <c r="AH75" s="4"/>
      <c r="AI75" s="4"/>
      <c r="AK75" s="4"/>
      <c r="AL75" s="4"/>
      <c r="AM75" s="4"/>
      <c r="AN75" s="4"/>
      <c r="AO75" s="4"/>
      <c r="AQ75" s="4"/>
      <c r="AR75" s="4"/>
      <c r="AT75" s="4"/>
      <c r="AU75" s="4"/>
      <c r="AV75" s="4"/>
      <c r="AW75" s="4"/>
      <c r="AX75" s="4"/>
      <c r="AY75" s="4"/>
    </row>
    <row r="76">
      <c r="A76" s="4"/>
      <c r="B76" s="4"/>
      <c r="C76" s="4"/>
      <c r="D76" s="42"/>
      <c r="E76" s="4"/>
      <c r="F76" s="42"/>
      <c r="G76" s="42"/>
      <c r="H76" s="4"/>
      <c r="I76" s="42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H76" s="4"/>
      <c r="AI76" s="4"/>
      <c r="AK76" s="4"/>
      <c r="AL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</row>
    <row r="77">
      <c r="A77" s="4"/>
      <c r="B77" s="4"/>
      <c r="C77" s="4"/>
      <c r="D77" s="42"/>
      <c r="E77" s="4"/>
      <c r="F77" s="42"/>
      <c r="G77" s="42"/>
      <c r="H77" s="4"/>
      <c r="I77" s="42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Q77" s="4"/>
      <c r="AR77" s="4"/>
      <c r="AS77" s="4"/>
      <c r="AT77" s="4"/>
      <c r="AU77" s="4"/>
      <c r="AV77" s="4"/>
      <c r="AW77" s="4"/>
      <c r="AX77" s="4"/>
    </row>
    <row r="78">
      <c r="A78" s="4"/>
      <c r="B78" s="4"/>
      <c r="C78" s="4"/>
      <c r="D78" s="42"/>
      <c r="E78" s="4"/>
      <c r="F78" s="42"/>
      <c r="G78" s="42"/>
      <c r="H78" s="4"/>
      <c r="I78" s="42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E78" s="4"/>
      <c r="AF78" s="4"/>
      <c r="AH78" s="4"/>
      <c r="AI78" s="4"/>
      <c r="AJ78" s="4"/>
      <c r="AK78" s="4"/>
      <c r="AL78" s="4"/>
      <c r="AN78" s="4"/>
      <c r="AO78" s="4"/>
      <c r="AQ78" s="4"/>
      <c r="AR78" s="4"/>
      <c r="AS78" s="4"/>
      <c r="AT78" s="4"/>
      <c r="AU78" s="4"/>
      <c r="AV78" s="4"/>
      <c r="AW78" s="4"/>
      <c r="AX78" s="4"/>
    </row>
    <row r="79">
      <c r="A79" s="4"/>
      <c r="B79" s="4"/>
      <c r="C79" s="4"/>
      <c r="D79" s="42"/>
      <c r="E79" s="4"/>
      <c r="F79" s="42"/>
      <c r="G79" s="42"/>
      <c r="H79" s="4"/>
      <c r="I79" s="42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>
      <c r="A80" s="4"/>
      <c r="B80" s="4"/>
      <c r="C80" s="4"/>
      <c r="D80" s="42"/>
      <c r="E80" s="4"/>
      <c r="F80" s="42"/>
      <c r="G80" s="42"/>
      <c r="H80" s="4"/>
      <c r="I80" s="42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B80" s="4"/>
      <c r="AC80" s="4"/>
      <c r="AD80" s="4"/>
      <c r="AE80" s="4"/>
      <c r="AF80" s="4"/>
      <c r="AH80" s="4"/>
      <c r="AI80" s="4"/>
      <c r="AK80" s="4"/>
      <c r="AL80" s="4"/>
      <c r="AM80" s="4"/>
      <c r="AN80" s="4"/>
      <c r="AO80" s="4"/>
      <c r="AP80" s="4"/>
      <c r="AQ80" s="4"/>
      <c r="AR80" s="4"/>
      <c r="AT80" s="4"/>
      <c r="AU80" s="4"/>
      <c r="AV80" s="4"/>
      <c r="AW80" s="4"/>
      <c r="AX80" s="4"/>
      <c r="AY80" s="4"/>
    </row>
    <row r="81">
      <c r="A81" s="4"/>
      <c r="B81" s="4"/>
      <c r="C81" s="4"/>
      <c r="D81" s="42"/>
      <c r="E81" s="4"/>
      <c r="F81" s="42"/>
      <c r="G81" s="42"/>
      <c r="H81" s="4"/>
      <c r="I81" s="42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B81" s="4"/>
      <c r="AC81" s="4"/>
      <c r="AD81" s="4"/>
      <c r="AE81" s="4"/>
      <c r="AF81" s="4"/>
      <c r="AG81" s="4"/>
      <c r="AH81" s="4"/>
      <c r="AI81" s="4"/>
      <c r="AK81" s="4"/>
      <c r="AL81" s="4"/>
      <c r="AM81" s="4"/>
      <c r="AN81" s="4"/>
      <c r="AO81" s="4"/>
      <c r="AQ81" s="4"/>
      <c r="AR81" s="4"/>
      <c r="AS81" s="4"/>
      <c r="AT81" s="4"/>
      <c r="AU81" s="4"/>
      <c r="AV81" s="4"/>
      <c r="AW81" s="4"/>
      <c r="AX81" s="4"/>
    </row>
    <row r="82">
      <c r="A82" s="4"/>
      <c r="B82" s="4"/>
      <c r="C82" s="4"/>
      <c r="D82" s="42"/>
      <c r="E82" s="4"/>
      <c r="F82" s="42"/>
      <c r="G82" s="42"/>
      <c r="H82" s="4"/>
      <c r="I82" s="42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B82" s="4"/>
      <c r="AC82" s="4"/>
      <c r="AD82" s="4"/>
      <c r="AE82" s="4"/>
      <c r="AF82" s="4"/>
      <c r="AH82" s="4"/>
      <c r="AI82" s="4"/>
      <c r="AK82" s="4"/>
      <c r="AL82" s="4"/>
      <c r="AM82" s="4"/>
      <c r="AN82" s="4"/>
      <c r="AO82" s="4"/>
      <c r="AQ82" s="4"/>
      <c r="AR82" s="4"/>
      <c r="AT82" s="4"/>
      <c r="AU82" s="4"/>
      <c r="AV82" s="4"/>
      <c r="AW82" s="4"/>
      <c r="AX82" s="4"/>
      <c r="AY82" s="4"/>
    </row>
    <row r="83">
      <c r="A83" s="4"/>
      <c r="B83" s="4"/>
      <c r="C83" s="4"/>
      <c r="D83" s="42"/>
      <c r="E83" s="4"/>
      <c r="F83" s="42"/>
      <c r="G83" s="42"/>
      <c r="H83" s="4"/>
      <c r="I83" s="42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B83" s="4"/>
      <c r="AC83" s="4"/>
      <c r="AD83" s="4"/>
      <c r="AE83" s="4"/>
      <c r="AF83" s="4"/>
      <c r="AH83" s="4"/>
      <c r="AI83" s="4"/>
      <c r="AK83" s="4"/>
      <c r="AL83" s="4"/>
      <c r="AM83" s="4"/>
      <c r="AN83" s="4"/>
      <c r="AO83" s="4"/>
      <c r="AQ83" s="4"/>
      <c r="AR83" s="4"/>
      <c r="AT83" s="4"/>
      <c r="AU83" s="4"/>
      <c r="AV83" s="4"/>
      <c r="AW83" s="4"/>
      <c r="AX83" s="4"/>
    </row>
    <row r="84">
      <c r="A84" s="4"/>
      <c r="B84" s="4"/>
      <c r="C84" s="4"/>
      <c r="D84" s="42"/>
      <c r="E84" s="4"/>
      <c r="F84" s="42"/>
      <c r="G84" s="42"/>
      <c r="H84" s="4"/>
      <c r="I84" s="42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E84" s="4"/>
      <c r="AF84" s="4"/>
      <c r="AG84" s="4"/>
      <c r="AH84" s="4"/>
      <c r="AI84" s="4"/>
      <c r="AK84" s="4"/>
      <c r="AL84" s="4"/>
      <c r="AN84" s="4"/>
      <c r="AO84" s="4"/>
      <c r="AQ84" s="4"/>
      <c r="AR84" s="4"/>
      <c r="AS84" s="4"/>
      <c r="AT84" s="4"/>
      <c r="AU84" s="4"/>
      <c r="AW84" s="4"/>
      <c r="AX84" s="4"/>
      <c r="AY84" s="4"/>
    </row>
    <row r="85">
      <c r="A85" s="4"/>
      <c r="B85" s="4"/>
      <c r="C85" s="4"/>
      <c r="D85" s="42"/>
      <c r="E85" s="4"/>
      <c r="F85" s="42"/>
      <c r="G85" s="42"/>
      <c r="H85" s="4"/>
      <c r="I85" s="42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E85" s="4"/>
      <c r="AF85" s="4"/>
      <c r="AH85" s="4"/>
      <c r="AI85" s="4"/>
      <c r="AK85" s="4"/>
      <c r="AL85" s="4"/>
      <c r="AM85" s="4"/>
      <c r="AN85" s="4"/>
      <c r="AO85" s="4"/>
      <c r="AQ85" s="4"/>
      <c r="AR85" s="4"/>
      <c r="AS85" s="4"/>
      <c r="AT85" s="4"/>
      <c r="AU85" s="4"/>
      <c r="AW85" s="4"/>
      <c r="AX85" s="4"/>
    </row>
    <row r="86">
      <c r="A86" s="4"/>
      <c r="B86" s="4"/>
      <c r="C86" s="4"/>
      <c r="D86" s="42"/>
      <c r="E86" s="4"/>
      <c r="F86" s="42"/>
      <c r="G86" s="42"/>
      <c r="H86" s="4"/>
      <c r="I86" s="42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H86" s="4"/>
      <c r="AI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</row>
    <row r="87">
      <c r="A87" s="4"/>
      <c r="B87" s="4"/>
      <c r="C87" s="4"/>
      <c r="D87" s="42"/>
      <c r="E87" s="4"/>
      <c r="F87" s="42"/>
      <c r="G87" s="42"/>
      <c r="H87" s="4"/>
      <c r="I87" s="42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H87" s="4"/>
      <c r="AI87" s="4"/>
      <c r="AK87" s="4"/>
      <c r="AL87" s="4"/>
      <c r="AM87" s="4"/>
      <c r="AN87" s="4"/>
      <c r="AO87" s="4"/>
      <c r="AP87" s="4"/>
      <c r="AQ87" s="4"/>
      <c r="AR87" s="4"/>
      <c r="AT87" s="4"/>
      <c r="AU87" s="4"/>
      <c r="AV87" s="4"/>
      <c r="AW87" s="4"/>
      <c r="AX87" s="4"/>
    </row>
    <row r="88">
      <c r="A88" s="4"/>
      <c r="B88" s="4"/>
      <c r="C88" s="4"/>
      <c r="D88" s="42"/>
      <c r="E88" s="4"/>
      <c r="F88" s="42"/>
      <c r="G88" s="42"/>
      <c r="H88" s="4"/>
      <c r="I88" s="42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E88" s="4"/>
      <c r="AF88" s="4"/>
      <c r="AH88" s="4"/>
      <c r="AI88" s="4"/>
      <c r="AJ88" s="4"/>
      <c r="AK88" s="4"/>
      <c r="AL88" s="4"/>
      <c r="AN88" s="4"/>
      <c r="AO88" s="4"/>
      <c r="AQ88" s="4"/>
      <c r="AR88" s="4"/>
      <c r="AS88" s="4"/>
      <c r="AT88" s="4"/>
      <c r="AU88" s="4"/>
      <c r="AW88" s="4"/>
      <c r="AX88" s="4"/>
    </row>
    <row r="89">
      <c r="A89" s="4"/>
      <c r="B89" s="4"/>
      <c r="C89" s="4"/>
      <c r="D89" s="42"/>
      <c r="E89" s="4"/>
      <c r="F89" s="42"/>
      <c r="G89" s="42"/>
      <c r="H89" s="4"/>
      <c r="I89" s="42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Q89" s="4"/>
      <c r="AR89" s="4"/>
      <c r="AS89" s="4"/>
      <c r="AT89" s="4"/>
      <c r="AU89" s="4"/>
      <c r="AV89" s="4"/>
      <c r="AW89" s="4"/>
      <c r="AX89" s="4"/>
    </row>
    <row r="90">
      <c r="A90" s="4"/>
      <c r="B90" s="4"/>
      <c r="C90" s="4"/>
      <c r="D90" s="42"/>
      <c r="E90" s="4"/>
      <c r="F90" s="42"/>
      <c r="G90" s="42"/>
      <c r="H90" s="4"/>
      <c r="I90" s="42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H90" s="4"/>
      <c r="AI90" s="4"/>
      <c r="AJ90" s="4"/>
      <c r="AK90" s="4"/>
      <c r="AL90" s="4"/>
      <c r="AN90" s="4"/>
      <c r="AO90" s="4"/>
      <c r="AP90" s="4"/>
      <c r="AQ90" s="4"/>
      <c r="AR90" s="4"/>
      <c r="AS90" s="4"/>
      <c r="AT90" s="4"/>
      <c r="AU90" s="4"/>
      <c r="AW90" s="4"/>
      <c r="AX90" s="4"/>
      <c r="AY90" s="4"/>
    </row>
    <row r="91">
      <c r="A91" s="4"/>
      <c r="B91" s="4"/>
      <c r="C91" s="4"/>
      <c r="D91" s="42"/>
      <c r="E91" s="4"/>
      <c r="F91" s="42"/>
      <c r="G91" s="42"/>
      <c r="H91" s="4"/>
      <c r="I91" s="42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H91" s="4"/>
      <c r="AI91" s="4"/>
      <c r="AJ91" s="4"/>
      <c r="AK91" s="4"/>
      <c r="AL91" s="4"/>
      <c r="AN91" s="4"/>
      <c r="AO91" s="4"/>
      <c r="AP91" s="4"/>
      <c r="AQ91" s="4"/>
      <c r="AR91" s="4"/>
      <c r="AS91" s="4"/>
      <c r="AT91" s="4"/>
      <c r="AU91" s="4"/>
      <c r="AW91" s="4"/>
      <c r="AX91" s="4"/>
      <c r="AY91" s="4"/>
    </row>
    <row r="92">
      <c r="A92" s="4"/>
      <c r="B92" s="4"/>
      <c r="C92" s="4"/>
      <c r="D92" s="42"/>
      <c r="E92" s="4"/>
      <c r="F92" s="42"/>
      <c r="G92" s="42"/>
      <c r="H92" s="4"/>
      <c r="I92" s="42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H92" s="4"/>
      <c r="AI92" s="4"/>
      <c r="AJ92" s="4"/>
      <c r="AK92" s="4"/>
      <c r="AL92" s="4"/>
      <c r="AN92" s="4"/>
      <c r="AO92" s="4"/>
      <c r="AP92" s="4"/>
      <c r="AQ92" s="4"/>
      <c r="AR92" s="4"/>
      <c r="AS92" s="4"/>
      <c r="AT92" s="4"/>
      <c r="AU92" s="4"/>
      <c r="AW92" s="4"/>
      <c r="AX92" s="4"/>
      <c r="AY92" s="4"/>
    </row>
    <row r="93">
      <c r="A93" s="4"/>
      <c r="B93" s="4"/>
      <c r="C93" s="4"/>
      <c r="D93" s="42"/>
      <c r="E93" s="4"/>
      <c r="F93" s="42"/>
      <c r="G93" s="42"/>
      <c r="H93" s="4"/>
      <c r="I93" s="42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H93" s="4"/>
      <c r="AI93" s="4"/>
      <c r="AK93" s="4"/>
      <c r="AL93" s="4"/>
      <c r="AN93" s="4"/>
      <c r="AO93" s="4"/>
      <c r="AP93" s="4"/>
      <c r="AQ93" s="4"/>
      <c r="AR93" s="4"/>
      <c r="AS93" s="4"/>
      <c r="AT93" s="4"/>
      <c r="AU93" s="4"/>
      <c r="AW93" s="4"/>
      <c r="AX93" s="4"/>
      <c r="AY93" s="4"/>
    </row>
    <row r="94">
      <c r="A94" s="4"/>
      <c r="B94" s="4"/>
      <c r="C94" s="4"/>
      <c r="D94" s="42"/>
      <c r="E94" s="4"/>
      <c r="F94" s="42"/>
      <c r="G94" s="42"/>
      <c r="H94" s="4"/>
      <c r="I94" s="42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</row>
    <row r="95">
      <c r="A95" s="4"/>
      <c r="B95" s="4"/>
      <c r="C95" s="4"/>
      <c r="D95" s="42"/>
      <c r="E95" s="4"/>
      <c r="F95" s="42"/>
      <c r="G95" s="42"/>
      <c r="H95" s="4"/>
      <c r="I95" s="42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</row>
    <row r="96">
      <c r="A96" s="4"/>
      <c r="B96" s="4"/>
      <c r="C96" s="4"/>
      <c r="D96" s="42"/>
      <c r="E96" s="4"/>
      <c r="F96" s="42"/>
      <c r="G96" s="42"/>
      <c r="H96" s="4"/>
      <c r="I96" s="42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</row>
    <row r="97">
      <c r="A97" s="4"/>
      <c r="B97" s="4"/>
      <c r="C97" s="4"/>
      <c r="D97" s="42"/>
      <c r="E97" s="4"/>
      <c r="F97" s="42"/>
      <c r="G97" s="42"/>
      <c r="H97" s="4"/>
      <c r="I97" s="42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B97" s="4"/>
      <c r="AC97" s="4"/>
      <c r="AE97" s="4"/>
      <c r="AF97" s="4"/>
      <c r="AH97" s="4"/>
      <c r="AI97" s="4"/>
      <c r="AK97" s="4"/>
      <c r="AL97" s="4"/>
      <c r="AN97" s="4"/>
      <c r="AO97" s="4"/>
      <c r="AQ97" s="4"/>
      <c r="AR97" s="4"/>
      <c r="AT97" s="4"/>
      <c r="AU97" s="4"/>
      <c r="AW97" s="4"/>
      <c r="AX97" s="4"/>
    </row>
    <row r="98">
      <c r="A98" s="4"/>
      <c r="B98" s="4"/>
      <c r="C98" s="4"/>
      <c r="D98" s="42"/>
      <c r="E98" s="4"/>
      <c r="F98" s="42"/>
      <c r="G98" s="42"/>
      <c r="H98" s="4"/>
      <c r="I98" s="42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B98" s="4"/>
      <c r="AC98" s="4"/>
      <c r="AE98" s="4"/>
      <c r="AF98" s="4"/>
      <c r="AH98" s="4"/>
      <c r="AI98" s="4"/>
      <c r="AK98" s="4"/>
      <c r="AL98" s="4"/>
      <c r="AN98" s="4"/>
      <c r="AO98" s="4"/>
      <c r="AQ98" s="4"/>
      <c r="AR98" s="4"/>
      <c r="AT98" s="4"/>
      <c r="AU98" s="4"/>
      <c r="AW98" s="4"/>
      <c r="AX98" s="4"/>
    </row>
    <row r="99">
      <c r="A99" s="4"/>
      <c r="D99" s="43"/>
      <c r="F99" s="43"/>
      <c r="G99" s="43"/>
      <c r="I99" s="43"/>
    </row>
    <row r="100">
      <c r="A100" s="4"/>
      <c r="B100" s="4"/>
      <c r="C100" s="4"/>
      <c r="D100" s="42"/>
      <c r="E100" s="4"/>
      <c r="F100" s="42"/>
      <c r="G100" s="42"/>
      <c r="H100" s="4"/>
      <c r="I100" s="42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</row>
    <row r="101">
      <c r="A101" s="4"/>
      <c r="B101" s="4"/>
      <c r="C101" s="4"/>
      <c r="D101" s="42"/>
      <c r="E101" s="4"/>
      <c r="F101" s="42"/>
      <c r="G101" s="42"/>
      <c r="H101" s="4"/>
      <c r="I101" s="42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E101" s="4"/>
      <c r="AF101" s="4"/>
      <c r="AG101" s="4"/>
      <c r="AH101" s="4"/>
      <c r="AI101" s="4"/>
      <c r="AK101" s="4"/>
      <c r="AL101" s="4"/>
      <c r="AM101" s="4"/>
      <c r="AN101" s="4"/>
      <c r="AO101" s="4"/>
      <c r="AQ101" s="4"/>
      <c r="AR101" s="4"/>
      <c r="AT101" s="4"/>
      <c r="AU101" s="4"/>
      <c r="AV101" s="4"/>
      <c r="AW101" s="4"/>
      <c r="AX101" s="4"/>
    </row>
    <row r="102">
      <c r="A102" s="4"/>
      <c r="B102" s="4"/>
      <c r="C102" s="4"/>
      <c r="D102" s="42"/>
      <c r="E102" s="4"/>
      <c r="F102" s="42"/>
      <c r="G102" s="42"/>
      <c r="H102" s="4"/>
      <c r="I102" s="42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E102" s="4"/>
      <c r="AF102" s="4"/>
      <c r="AH102" s="4"/>
      <c r="AI102" s="4"/>
      <c r="AK102" s="4"/>
      <c r="AL102" s="4"/>
      <c r="AM102" s="4"/>
      <c r="AN102" s="4"/>
      <c r="AO102" s="4"/>
      <c r="AQ102" s="4"/>
      <c r="AR102" s="4"/>
      <c r="AT102" s="4"/>
      <c r="AU102" s="4"/>
      <c r="AV102" s="4"/>
      <c r="AW102" s="4"/>
      <c r="AX102" s="4"/>
      <c r="AY102" s="4"/>
    </row>
    <row r="103">
      <c r="A103" s="4"/>
      <c r="B103" s="4"/>
      <c r="C103" s="4"/>
      <c r="D103" s="42"/>
      <c r="E103" s="4"/>
      <c r="F103" s="42"/>
      <c r="G103" s="42"/>
      <c r="H103" s="4"/>
      <c r="I103" s="42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E103" s="4"/>
      <c r="AF103" s="4"/>
      <c r="AG103" s="4"/>
      <c r="AH103" s="4"/>
      <c r="AI103" s="4"/>
      <c r="AK103" s="4"/>
      <c r="AL103" s="4"/>
      <c r="AM103" s="4"/>
      <c r="AN103" s="4"/>
      <c r="AO103" s="4"/>
      <c r="AQ103" s="4"/>
      <c r="AR103" s="4"/>
      <c r="AT103" s="4"/>
      <c r="AU103" s="4"/>
      <c r="AV103" s="4"/>
      <c r="AW103" s="4"/>
      <c r="AX103" s="4"/>
    </row>
    <row r="104">
      <c r="A104" s="4"/>
      <c r="B104" s="4"/>
      <c r="C104" s="4"/>
      <c r="D104" s="42"/>
      <c r="E104" s="4"/>
      <c r="F104" s="42"/>
      <c r="G104" s="42"/>
      <c r="H104" s="4"/>
      <c r="I104" s="42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H104" s="4"/>
      <c r="AI104" s="4"/>
      <c r="AJ104" s="4"/>
      <c r="AK104" s="4"/>
      <c r="AL104" s="4"/>
      <c r="AN104" s="4"/>
      <c r="AO104" s="4"/>
      <c r="AQ104" s="4"/>
      <c r="AR104" s="4"/>
      <c r="AS104" s="4"/>
      <c r="AT104" s="4"/>
      <c r="AU104" s="4"/>
      <c r="AV104" s="4"/>
      <c r="AW104" s="4"/>
      <c r="AX104" s="4"/>
      <c r="AY104" s="4"/>
    </row>
    <row r="105">
      <c r="A105" s="4"/>
      <c r="B105" s="4"/>
      <c r="C105" s="4"/>
      <c r="D105" s="42"/>
      <c r="E105" s="4"/>
      <c r="F105" s="42"/>
      <c r="G105" s="42"/>
      <c r="H105" s="4"/>
      <c r="I105" s="42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E105" s="4"/>
      <c r="AF105" s="4"/>
      <c r="AG105" s="4"/>
      <c r="AH105" s="4"/>
      <c r="AI105" s="4"/>
      <c r="AK105" s="4"/>
      <c r="AL105" s="4"/>
      <c r="AM105" s="4"/>
      <c r="AN105" s="4"/>
      <c r="AO105" s="4"/>
      <c r="AQ105" s="4"/>
      <c r="AR105" s="4"/>
      <c r="AT105" s="4"/>
      <c r="AU105" s="4"/>
      <c r="AV105" s="4"/>
      <c r="AW105" s="4"/>
      <c r="AX105" s="4"/>
    </row>
    <row r="106">
      <c r="A106" s="4"/>
      <c r="B106" s="4"/>
      <c r="C106" s="4"/>
      <c r="D106" s="42"/>
      <c r="E106" s="4"/>
      <c r="F106" s="42"/>
      <c r="G106" s="42"/>
      <c r="H106" s="4"/>
      <c r="I106" s="42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K106" s="4"/>
      <c r="AL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</row>
    <row r="107">
      <c r="A107" s="4"/>
      <c r="B107" s="4"/>
      <c r="C107" s="4"/>
      <c r="D107" s="42"/>
      <c r="E107" s="4"/>
      <c r="F107" s="42"/>
      <c r="G107" s="42"/>
      <c r="H107" s="4"/>
      <c r="I107" s="42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B107" s="4"/>
      <c r="AC107" s="4"/>
      <c r="AD107" s="4"/>
      <c r="AE107" s="4"/>
      <c r="AF107" s="4"/>
      <c r="AH107" s="4"/>
      <c r="AI107" s="4"/>
      <c r="AK107" s="4"/>
      <c r="AL107" s="4"/>
      <c r="AM107" s="4"/>
      <c r="AN107" s="4"/>
      <c r="AO107" s="4"/>
      <c r="AQ107" s="4"/>
      <c r="AR107" s="4"/>
      <c r="AT107" s="4"/>
      <c r="AU107" s="4"/>
      <c r="AV107" s="4"/>
      <c r="AW107" s="4"/>
      <c r="AX107" s="4"/>
      <c r="AY107" s="4"/>
    </row>
    <row r="108">
      <c r="A108" s="4"/>
      <c r="B108" s="4"/>
      <c r="C108" s="4"/>
      <c r="D108" s="42"/>
      <c r="E108" s="4"/>
      <c r="F108" s="42"/>
      <c r="G108" s="42"/>
      <c r="H108" s="4"/>
      <c r="I108" s="42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H108" s="4"/>
      <c r="AI108" s="4"/>
      <c r="AK108" s="4"/>
      <c r="AL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</row>
    <row r="109">
      <c r="A109" s="4"/>
      <c r="B109" s="4"/>
      <c r="C109" s="4"/>
      <c r="D109" s="42"/>
      <c r="E109" s="4"/>
      <c r="F109" s="42"/>
      <c r="G109" s="42"/>
      <c r="H109" s="4"/>
      <c r="I109" s="42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Q109" s="4"/>
      <c r="AR109" s="4"/>
      <c r="AS109" s="4"/>
      <c r="AT109" s="4"/>
      <c r="AU109" s="4"/>
      <c r="AV109" s="4"/>
      <c r="AW109" s="4"/>
      <c r="AX109" s="4"/>
    </row>
    <row r="110">
      <c r="A110" s="4"/>
      <c r="B110" s="4"/>
      <c r="C110" s="4"/>
      <c r="D110" s="42"/>
      <c r="E110" s="4"/>
      <c r="F110" s="42"/>
      <c r="G110" s="42"/>
      <c r="H110" s="4"/>
      <c r="I110" s="42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E110" s="4"/>
      <c r="AF110" s="4"/>
      <c r="AH110" s="4"/>
      <c r="AI110" s="4"/>
      <c r="AJ110" s="4"/>
      <c r="AK110" s="4"/>
      <c r="AL110" s="4"/>
      <c r="AN110" s="4"/>
      <c r="AO110" s="4"/>
      <c r="AQ110" s="4"/>
      <c r="AR110" s="4"/>
      <c r="AS110" s="4"/>
      <c r="AT110" s="4"/>
      <c r="AU110" s="4"/>
      <c r="AV110" s="4"/>
      <c r="AW110" s="4"/>
      <c r="AX110" s="4"/>
    </row>
    <row r="111">
      <c r="A111" s="4"/>
      <c r="B111" s="4"/>
      <c r="C111" s="4"/>
      <c r="D111" s="42"/>
      <c r="E111" s="4"/>
      <c r="F111" s="42"/>
      <c r="G111" s="42"/>
      <c r="H111" s="4"/>
      <c r="I111" s="42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>
      <c r="A112" s="4"/>
      <c r="B112" s="4"/>
      <c r="C112" s="4"/>
      <c r="D112" s="42"/>
      <c r="E112" s="4"/>
      <c r="F112" s="42"/>
      <c r="G112" s="42"/>
      <c r="H112" s="4"/>
      <c r="I112" s="42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B112" s="4"/>
      <c r="AC112" s="4"/>
      <c r="AD112" s="4"/>
      <c r="AE112" s="4"/>
      <c r="AF112" s="4"/>
      <c r="AH112" s="4"/>
      <c r="AI112" s="4"/>
      <c r="AK112" s="4"/>
      <c r="AL112" s="4"/>
      <c r="AM112" s="4"/>
      <c r="AN112" s="4"/>
      <c r="AO112" s="4"/>
      <c r="AP112" s="4"/>
      <c r="AQ112" s="4"/>
      <c r="AR112" s="4"/>
      <c r="AT112" s="4"/>
      <c r="AU112" s="4"/>
      <c r="AV112" s="4"/>
      <c r="AW112" s="4"/>
      <c r="AX112" s="4"/>
      <c r="AY112" s="4"/>
    </row>
    <row r="113">
      <c r="A113" s="4"/>
      <c r="B113" s="4"/>
      <c r="C113" s="4"/>
      <c r="D113" s="42"/>
      <c r="E113" s="4"/>
      <c r="F113" s="42"/>
      <c r="G113" s="42"/>
      <c r="H113" s="4"/>
      <c r="I113" s="42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B113" s="4"/>
      <c r="AC113" s="4"/>
      <c r="AD113" s="4"/>
      <c r="AE113" s="4"/>
      <c r="AF113" s="4"/>
      <c r="AG113" s="4"/>
      <c r="AH113" s="4"/>
      <c r="AI113" s="4"/>
      <c r="AK113" s="4"/>
      <c r="AL113" s="4"/>
      <c r="AM113" s="4"/>
      <c r="AN113" s="4"/>
      <c r="AO113" s="4"/>
      <c r="AQ113" s="4"/>
      <c r="AR113" s="4"/>
      <c r="AS113" s="4"/>
      <c r="AT113" s="4"/>
      <c r="AU113" s="4"/>
      <c r="AV113" s="4"/>
      <c r="AW113" s="4"/>
      <c r="AX113" s="4"/>
    </row>
    <row r="114">
      <c r="A114" s="4"/>
      <c r="B114" s="4"/>
      <c r="C114" s="4"/>
      <c r="D114" s="42"/>
      <c r="E114" s="4"/>
      <c r="F114" s="42"/>
      <c r="G114" s="42"/>
      <c r="H114" s="4"/>
      <c r="I114" s="42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B114" s="4"/>
      <c r="AC114" s="4"/>
      <c r="AD114" s="4"/>
      <c r="AE114" s="4"/>
      <c r="AF114" s="4"/>
      <c r="AH114" s="4"/>
      <c r="AI114" s="4"/>
      <c r="AK114" s="4"/>
      <c r="AL114" s="4"/>
      <c r="AM114" s="4"/>
      <c r="AN114" s="4"/>
      <c r="AO114" s="4"/>
      <c r="AQ114" s="4"/>
      <c r="AR114" s="4"/>
      <c r="AT114" s="4"/>
      <c r="AU114" s="4"/>
      <c r="AV114" s="4"/>
      <c r="AW114" s="4"/>
      <c r="AX114" s="4"/>
      <c r="AY114" s="4"/>
    </row>
    <row r="115">
      <c r="A115" s="4"/>
      <c r="B115" s="4"/>
      <c r="C115" s="4"/>
      <c r="D115" s="42"/>
      <c r="E115" s="4"/>
      <c r="F115" s="42"/>
      <c r="G115" s="42"/>
      <c r="H115" s="4"/>
      <c r="I115" s="42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B115" s="4"/>
      <c r="AC115" s="4"/>
      <c r="AD115" s="4"/>
      <c r="AE115" s="4"/>
      <c r="AF115" s="4"/>
      <c r="AH115" s="4"/>
      <c r="AI115" s="4"/>
      <c r="AK115" s="4"/>
      <c r="AL115" s="4"/>
      <c r="AM115" s="4"/>
      <c r="AN115" s="4"/>
      <c r="AO115" s="4"/>
      <c r="AQ115" s="4"/>
      <c r="AR115" s="4"/>
      <c r="AT115" s="4"/>
      <c r="AU115" s="4"/>
      <c r="AV115" s="4"/>
      <c r="AW115" s="4"/>
      <c r="AX115" s="4"/>
    </row>
    <row r="116">
      <c r="A116" s="4"/>
      <c r="B116" s="4"/>
      <c r="C116" s="4"/>
      <c r="D116" s="42"/>
      <c r="E116" s="4"/>
      <c r="F116" s="42"/>
      <c r="G116" s="42"/>
      <c r="H116" s="4"/>
      <c r="I116" s="42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E116" s="4"/>
      <c r="AF116" s="4"/>
      <c r="AG116" s="4"/>
      <c r="AH116" s="4"/>
      <c r="AI116" s="4"/>
      <c r="AK116" s="4"/>
      <c r="AL116" s="4"/>
      <c r="AN116" s="4"/>
      <c r="AO116" s="4"/>
      <c r="AQ116" s="4"/>
      <c r="AR116" s="4"/>
      <c r="AS116" s="4"/>
      <c r="AT116" s="4"/>
      <c r="AU116" s="4"/>
      <c r="AW116" s="4"/>
      <c r="AX116" s="4"/>
      <c r="AY116" s="4"/>
    </row>
    <row r="117">
      <c r="A117" s="4"/>
      <c r="B117" s="4"/>
      <c r="C117" s="4"/>
      <c r="D117" s="42"/>
      <c r="E117" s="4"/>
      <c r="F117" s="42"/>
      <c r="G117" s="42"/>
      <c r="H117" s="4"/>
      <c r="I117" s="42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E117" s="4"/>
      <c r="AF117" s="4"/>
      <c r="AH117" s="4"/>
      <c r="AI117" s="4"/>
      <c r="AK117" s="4"/>
      <c r="AL117" s="4"/>
      <c r="AM117" s="4"/>
      <c r="AN117" s="4"/>
      <c r="AO117" s="4"/>
      <c r="AQ117" s="4"/>
      <c r="AR117" s="4"/>
      <c r="AS117" s="4"/>
      <c r="AT117" s="4"/>
      <c r="AU117" s="4"/>
      <c r="AW117" s="4"/>
      <c r="AX117" s="4"/>
    </row>
    <row r="118">
      <c r="A118" s="4"/>
      <c r="B118" s="4"/>
      <c r="C118" s="4"/>
      <c r="D118" s="42"/>
      <c r="E118" s="4"/>
      <c r="F118" s="42"/>
      <c r="G118" s="42"/>
      <c r="H118" s="4"/>
      <c r="I118" s="42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H118" s="4"/>
      <c r="AI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</row>
    <row r="119">
      <c r="A119" s="4"/>
      <c r="B119" s="4"/>
      <c r="C119" s="4"/>
      <c r="D119" s="42"/>
      <c r="E119" s="4"/>
      <c r="F119" s="42"/>
      <c r="G119" s="42"/>
      <c r="H119" s="4"/>
      <c r="I119" s="42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H119" s="4"/>
      <c r="AI119" s="4"/>
      <c r="AK119" s="4"/>
      <c r="AL119" s="4"/>
      <c r="AM119" s="4"/>
      <c r="AN119" s="4"/>
      <c r="AO119" s="4"/>
      <c r="AP119" s="4"/>
      <c r="AQ119" s="4"/>
      <c r="AR119" s="4"/>
      <c r="AT119" s="4"/>
      <c r="AU119" s="4"/>
      <c r="AV119" s="4"/>
      <c r="AW119" s="4"/>
      <c r="AX119" s="4"/>
    </row>
    <row r="120">
      <c r="A120" s="4"/>
      <c r="B120" s="4"/>
      <c r="C120" s="4"/>
      <c r="D120" s="42"/>
      <c r="E120" s="4"/>
      <c r="F120" s="42"/>
      <c r="G120" s="42"/>
      <c r="H120" s="4"/>
      <c r="I120" s="42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E120" s="4"/>
      <c r="AF120" s="4"/>
      <c r="AH120" s="4"/>
      <c r="AI120" s="4"/>
      <c r="AJ120" s="4"/>
      <c r="AK120" s="4"/>
      <c r="AL120" s="4"/>
      <c r="AN120" s="4"/>
      <c r="AO120" s="4"/>
      <c r="AQ120" s="4"/>
      <c r="AR120" s="4"/>
      <c r="AS120" s="4"/>
      <c r="AT120" s="4"/>
      <c r="AU120" s="4"/>
      <c r="AW120" s="4"/>
      <c r="AX120" s="4"/>
    </row>
    <row r="121">
      <c r="A121" s="4"/>
      <c r="B121" s="4"/>
      <c r="C121" s="4"/>
      <c r="D121" s="42"/>
      <c r="E121" s="4"/>
      <c r="F121" s="42"/>
      <c r="G121" s="42"/>
      <c r="H121" s="4"/>
      <c r="I121" s="42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Q121" s="4"/>
      <c r="AR121" s="4"/>
      <c r="AS121" s="4"/>
      <c r="AT121" s="4"/>
      <c r="AU121" s="4"/>
      <c r="AV121" s="4"/>
      <c r="AW121" s="4"/>
      <c r="AX121" s="4"/>
    </row>
    <row r="122">
      <c r="A122" s="4"/>
      <c r="B122" s="4"/>
      <c r="C122" s="4"/>
      <c r="D122" s="42"/>
      <c r="E122" s="4"/>
      <c r="F122" s="42"/>
      <c r="G122" s="42"/>
      <c r="H122" s="4"/>
      <c r="I122" s="42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H122" s="4"/>
      <c r="AI122" s="4"/>
      <c r="AJ122" s="4"/>
      <c r="AK122" s="4"/>
      <c r="AL122" s="4"/>
      <c r="AN122" s="4"/>
      <c r="AO122" s="4"/>
      <c r="AP122" s="4"/>
      <c r="AQ122" s="4"/>
      <c r="AR122" s="4"/>
      <c r="AS122" s="4"/>
      <c r="AT122" s="4"/>
      <c r="AU122" s="4"/>
      <c r="AW122" s="4"/>
      <c r="AX122" s="4"/>
      <c r="AY122" s="4"/>
    </row>
    <row r="123">
      <c r="A123" s="4"/>
      <c r="B123" s="4"/>
      <c r="C123" s="4"/>
      <c r="D123" s="42"/>
      <c r="E123" s="4"/>
      <c r="F123" s="42"/>
      <c r="G123" s="42"/>
      <c r="H123" s="4"/>
      <c r="I123" s="42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H123" s="4"/>
      <c r="AI123" s="4"/>
      <c r="AJ123" s="4"/>
      <c r="AK123" s="4"/>
      <c r="AL123" s="4"/>
      <c r="AN123" s="4"/>
      <c r="AO123" s="4"/>
      <c r="AP123" s="4"/>
      <c r="AQ123" s="4"/>
      <c r="AR123" s="4"/>
      <c r="AS123" s="4"/>
      <c r="AT123" s="4"/>
      <c r="AU123" s="4"/>
      <c r="AW123" s="4"/>
      <c r="AX123" s="4"/>
      <c r="AY123" s="4"/>
    </row>
    <row r="124">
      <c r="A124" s="4"/>
      <c r="B124" s="4"/>
      <c r="C124" s="4"/>
      <c r="D124" s="42"/>
      <c r="E124" s="4"/>
      <c r="F124" s="42"/>
      <c r="G124" s="42"/>
      <c r="H124" s="4"/>
      <c r="I124" s="42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H124" s="4"/>
      <c r="AI124" s="4"/>
      <c r="AJ124" s="4"/>
      <c r="AK124" s="4"/>
      <c r="AL124" s="4"/>
      <c r="AN124" s="4"/>
      <c r="AO124" s="4"/>
      <c r="AP124" s="4"/>
      <c r="AQ124" s="4"/>
      <c r="AR124" s="4"/>
      <c r="AS124" s="4"/>
      <c r="AT124" s="4"/>
      <c r="AU124" s="4"/>
      <c r="AW124" s="4"/>
      <c r="AX124" s="4"/>
      <c r="AY124" s="4"/>
    </row>
    <row r="125">
      <c r="A125" s="4"/>
      <c r="B125" s="4"/>
      <c r="C125" s="4"/>
      <c r="D125" s="42"/>
      <c r="E125" s="4"/>
      <c r="F125" s="42"/>
      <c r="G125" s="42"/>
      <c r="H125" s="4"/>
      <c r="I125" s="42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H125" s="4"/>
      <c r="AI125" s="4"/>
      <c r="AK125" s="4"/>
      <c r="AL125" s="4"/>
      <c r="AN125" s="4"/>
      <c r="AO125" s="4"/>
      <c r="AP125" s="4"/>
      <c r="AQ125" s="4"/>
      <c r="AR125" s="4"/>
      <c r="AS125" s="4"/>
      <c r="AT125" s="4"/>
      <c r="AU125" s="4"/>
      <c r="AW125" s="4"/>
      <c r="AX125" s="4"/>
      <c r="AY125" s="4"/>
    </row>
    <row r="126">
      <c r="A126" s="4"/>
      <c r="B126" s="4"/>
      <c r="C126" s="4"/>
      <c r="D126" s="42"/>
      <c r="E126" s="4"/>
      <c r="F126" s="42"/>
      <c r="G126" s="42"/>
      <c r="H126" s="4"/>
      <c r="I126" s="42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</row>
    <row r="127">
      <c r="A127" s="4"/>
      <c r="B127" s="4"/>
      <c r="C127" s="4"/>
      <c r="D127" s="42"/>
      <c r="E127" s="4"/>
      <c r="F127" s="42"/>
      <c r="G127" s="42"/>
      <c r="H127" s="4"/>
      <c r="I127" s="42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</row>
    <row r="128">
      <c r="A128" s="4"/>
      <c r="B128" s="4"/>
      <c r="C128" s="4"/>
      <c r="D128" s="42"/>
      <c r="E128" s="4"/>
      <c r="F128" s="42"/>
      <c r="G128" s="42"/>
      <c r="H128" s="4"/>
      <c r="I128" s="42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</row>
    <row r="129">
      <c r="A129" s="4"/>
      <c r="B129" s="4"/>
      <c r="C129" s="4"/>
      <c r="D129" s="42"/>
      <c r="E129" s="4"/>
      <c r="F129" s="42"/>
      <c r="G129" s="42"/>
      <c r="H129" s="4"/>
      <c r="I129" s="42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B129" s="4"/>
      <c r="AC129" s="4"/>
      <c r="AE129" s="4"/>
      <c r="AF129" s="4"/>
      <c r="AH129" s="4"/>
      <c r="AI129" s="4"/>
      <c r="AK129" s="4"/>
      <c r="AL129" s="4"/>
      <c r="AN129" s="4"/>
      <c r="AO129" s="4"/>
      <c r="AQ129" s="4"/>
      <c r="AR129" s="4"/>
      <c r="AT129" s="4"/>
      <c r="AU129" s="4"/>
      <c r="AW129" s="4"/>
      <c r="AX129" s="4"/>
    </row>
    <row r="130">
      <c r="A130" s="4"/>
      <c r="B130" s="4"/>
      <c r="C130" s="4"/>
      <c r="D130" s="42"/>
      <c r="E130" s="4"/>
      <c r="F130" s="42"/>
      <c r="G130" s="42"/>
      <c r="H130" s="4"/>
      <c r="I130" s="42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B130" s="4"/>
      <c r="AC130" s="4"/>
      <c r="AE130" s="4"/>
      <c r="AF130" s="4"/>
      <c r="AH130" s="4"/>
      <c r="AI130" s="4"/>
      <c r="AK130" s="4"/>
      <c r="AL130" s="4"/>
      <c r="AN130" s="4"/>
      <c r="AO130" s="4"/>
      <c r="AQ130" s="4"/>
      <c r="AR130" s="4"/>
      <c r="AT130" s="4"/>
      <c r="AU130" s="4"/>
      <c r="AW130" s="4"/>
      <c r="AX130" s="4"/>
    </row>
    <row r="131">
      <c r="D131" s="43"/>
      <c r="F131" s="43"/>
      <c r="G131" s="43"/>
      <c r="I131" s="43"/>
    </row>
    <row r="132">
      <c r="D132" s="43"/>
      <c r="F132" s="43"/>
      <c r="G132" s="43"/>
      <c r="I132" s="43"/>
    </row>
    <row r="133">
      <c r="D133" s="43"/>
      <c r="F133" s="43"/>
      <c r="G133" s="43"/>
      <c r="I133" s="43"/>
    </row>
    <row r="134">
      <c r="D134" s="43"/>
      <c r="F134" s="43"/>
      <c r="G134" s="43"/>
      <c r="I134" s="43"/>
    </row>
    <row r="135">
      <c r="D135" s="43"/>
      <c r="F135" s="43"/>
      <c r="G135" s="43"/>
      <c r="I135" s="43"/>
    </row>
    <row r="136">
      <c r="D136" s="43"/>
      <c r="F136" s="43"/>
      <c r="G136" s="43"/>
      <c r="I136" s="43"/>
    </row>
    <row r="137">
      <c r="D137" s="43"/>
      <c r="F137" s="43"/>
      <c r="G137" s="43"/>
      <c r="I137" s="43"/>
    </row>
    <row r="138">
      <c r="D138" s="43"/>
      <c r="F138" s="43"/>
      <c r="G138" s="43"/>
      <c r="I138" s="43"/>
    </row>
    <row r="139">
      <c r="D139" s="43"/>
      <c r="F139" s="43"/>
      <c r="G139" s="43"/>
      <c r="I139" s="43"/>
    </row>
    <row r="140">
      <c r="D140" s="43"/>
      <c r="F140" s="43"/>
      <c r="G140" s="43"/>
      <c r="I140" s="43"/>
    </row>
    <row r="141">
      <c r="D141" s="43"/>
      <c r="F141" s="43"/>
      <c r="G141" s="43"/>
      <c r="I141" s="43"/>
    </row>
    <row r="142">
      <c r="D142" s="43"/>
      <c r="F142" s="43"/>
      <c r="G142" s="43"/>
      <c r="I142" s="43"/>
    </row>
    <row r="143">
      <c r="D143" s="43"/>
      <c r="F143" s="43"/>
      <c r="G143" s="43"/>
      <c r="I143" s="43"/>
    </row>
    <row r="144">
      <c r="D144" s="43"/>
      <c r="F144" s="43"/>
      <c r="G144" s="43"/>
      <c r="I144" s="43"/>
    </row>
    <row r="145">
      <c r="D145" s="43"/>
      <c r="F145" s="43"/>
      <c r="G145" s="43"/>
      <c r="I145" s="43"/>
    </row>
    <row r="146">
      <c r="D146" s="43"/>
      <c r="F146" s="43"/>
      <c r="G146" s="43"/>
      <c r="I146" s="43"/>
    </row>
    <row r="147">
      <c r="D147" s="43"/>
      <c r="F147" s="43"/>
      <c r="G147" s="43"/>
      <c r="I147" s="43"/>
    </row>
    <row r="148">
      <c r="D148" s="43"/>
      <c r="F148" s="43"/>
      <c r="G148" s="43"/>
      <c r="I148" s="43"/>
    </row>
    <row r="149">
      <c r="D149" s="43"/>
      <c r="F149" s="43"/>
      <c r="G149" s="43"/>
      <c r="I149" s="43"/>
    </row>
    <row r="150">
      <c r="D150" s="43"/>
      <c r="F150" s="43"/>
      <c r="G150" s="43"/>
      <c r="I150" s="43"/>
    </row>
    <row r="151">
      <c r="D151" s="43"/>
      <c r="F151" s="43"/>
      <c r="G151" s="43"/>
      <c r="I151" s="43"/>
    </row>
    <row r="152">
      <c r="D152" s="43"/>
      <c r="F152" s="43"/>
      <c r="G152" s="43"/>
      <c r="I152" s="43"/>
    </row>
    <row r="153">
      <c r="D153" s="43"/>
      <c r="F153" s="43"/>
      <c r="G153" s="43"/>
      <c r="I153" s="43"/>
    </row>
    <row r="154">
      <c r="D154" s="43"/>
      <c r="F154" s="43"/>
      <c r="G154" s="43"/>
      <c r="I154" s="43"/>
    </row>
    <row r="155">
      <c r="D155" s="43"/>
      <c r="F155" s="43"/>
      <c r="G155" s="43"/>
      <c r="I155" s="43"/>
    </row>
    <row r="156">
      <c r="D156" s="43"/>
      <c r="F156" s="43"/>
      <c r="G156" s="43"/>
      <c r="I156" s="43"/>
    </row>
    <row r="157">
      <c r="D157" s="43"/>
      <c r="F157" s="43"/>
      <c r="G157" s="43"/>
      <c r="I157" s="43"/>
    </row>
    <row r="158">
      <c r="D158" s="43"/>
      <c r="F158" s="43"/>
      <c r="G158" s="43"/>
      <c r="I158" s="43"/>
    </row>
    <row r="159">
      <c r="D159" s="43"/>
      <c r="F159" s="43"/>
      <c r="G159" s="43"/>
      <c r="I159" s="43"/>
    </row>
    <row r="160">
      <c r="D160" s="43"/>
      <c r="F160" s="43"/>
      <c r="G160" s="43"/>
      <c r="I160" s="43"/>
    </row>
    <row r="161">
      <c r="D161" s="43"/>
      <c r="F161" s="43"/>
      <c r="G161" s="43"/>
      <c r="I161" s="43"/>
    </row>
    <row r="162">
      <c r="D162" s="43"/>
      <c r="F162" s="43"/>
      <c r="G162" s="43"/>
      <c r="I162" s="43"/>
    </row>
    <row r="163">
      <c r="D163" s="43"/>
      <c r="F163" s="43"/>
      <c r="G163" s="43"/>
      <c r="I163" s="43"/>
    </row>
    <row r="164">
      <c r="D164" s="43"/>
      <c r="F164" s="43"/>
      <c r="G164" s="43"/>
      <c r="I164" s="43"/>
    </row>
    <row r="165">
      <c r="D165" s="43"/>
      <c r="F165" s="43"/>
      <c r="G165" s="43"/>
      <c r="I165" s="43"/>
    </row>
    <row r="166">
      <c r="D166" s="43"/>
      <c r="F166" s="43"/>
      <c r="G166" s="43"/>
      <c r="I166" s="43"/>
    </row>
    <row r="167">
      <c r="D167" s="43"/>
      <c r="F167" s="43"/>
      <c r="G167" s="43"/>
      <c r="I167" s="43"/>
    </row>
    <row r="168">
      <c r="D168" s="43"/>
      <c r="F168" s="43"/>
      <c r="G168" s="43"/>
      <c r="I168" s="43"/>
    </row>
    <row r="169">
      <c r="D169" s="43"/>
      <c r="F169" s="43"/>
      <c r="G169" s="43"/>
      <c r="I169" s="43"/>
    </row>
    <row r="170">
      <c r="D170" s="43"/>
      <c r="F170" s="43"/>
      <c r="G170" s="43"/>
      <c r="I170" s="43"/>
    </row>
    <row r="171">
      <c r="D171" s="43"/>
      <c r="F171" s="43"/>
      <c r="G171" s="43"/>
      <c r="I171" s="43"/>
    </row>
    <row r="172">
      <c r="D172" s="43"/>
      <c r="F172" s="43"/>
      <c r="G172" s="43"/>
      <c r="I172" s="43"/>
    </row>
    <row r="173">
      <c r="D173" s="43"/>
      <c r="F173" s="43"/>
      <c r="G173" s="43"/>
      <c r="I173" s="43"/>
    </row>
    <row r="174">
      <c r="D174" s="43"/>
      <c r="F174" s="43"/>
      <c r="G174" s="43"/>
      <c r="I174" s="43"/>
    </row>
    <row r="175">
      <c r="D175" s="43"/>
      <c r="F175" s="43"/>
      <c r="G175" s="43"/>
      <c r="I175" s="43"/>
    </row>
    <row r="176">
      <c r="D176" s="43"/>
      <c r="F176" s="43"/>
      <c r="G176" s="43"/>
      <c r="I176" s="43"/>
    </row>
    <row r="177">
      <c r="D177" s="43"/>
      <c r="F177" s="43"/>
      <c r="G177" s="43"/>
      <c r="I177" s="43"/>
    </row>
    <row r="178">
      <c r="D178" s="43"/>
      <c r="F178" s="43"/>
      <c r="G178" s="43"/>
      <c r="I178" s="43"/>
    </row>
    <row r="179">
      <c r="D179" s="43"/>
      <c r="F179" s="43"/>
      <c r="G179" s="43"/>
      <c r="I179" s="43"/>
    </row>
    <row r="180">
      <c r="D180" s="43"/>
      <c r="F180" s="43"/>
      <c r="G180" s="43"/>
      <c r="I180" s="43"/>
    </row>
    <row r="181">
      <c r="D181" s="43"/>
      <c r="F181" s="43"/>
      <c r="G181" s="43"/>
      <c r="I181" s="43"/>
    </row>
    <row r="182">
      <c r="D182" s="43"/>
      <c r="F182" s="43"/>
      <c r="G182" s="43"/>
      <c r="I182" s="43"/>
    </row>
    <row r="183">
      <c r="D183" s="43"/>
      <c r="F183" s="43"/>
      <c r="G183" s="43"/>
      <c r="I183" s="43"/>
    </row>
    <row r="184">
      <c r="D184" s="43"/>
      <c r="F184" s="43"/>
      <c r="G184" s="43"/>
      <c r="I184" s="43"/>
    </row>
    <row r="185">
      <c r="D185" s="43"/>
      <c r="F185" s="43"/>
      <c r="G185" s="43"/>
      <c r="I185" s="43"/>
    </row>
    <row r="186">
      <c r="D186" s="43"/>
      <c r="F186" s="43"/>
      <c r="G186" s="43"/>
      <c r="I186" s="43"/>
    </row>
    <row r="187">
      <c r="D187" s="43"/>
      <c r="F187" s="43"/>
      <c r="G187" s="43"/>
      <c r="I187" s="43"/>
    </row>
    <row r="188">
      <c r="D188" s="43"/>
      <c r="F188" s="43"/>
      <c r="G188" s="43"/>
      <c r="I188" s="43"/>
    </row>
    <row r="189">
      <c r="D189" s="43"/>
      <c r="F189" s="43"/>
      <c r="G189" s="43"/>
      <c r="I189" s="43"/>
    </row>
    <row r="190">
      <c r="D190" s="43"/>
      <c r="F190" s="43"/>
      <c r="G190" s="43"/>
      <c r="I190" s="43"/>
    </row>
    <row r="191">
      <c r="D191" s="43"/>
      <c r="F191" s="43"/>
      <c r="G191" s="43"/>
      <c r="I191" s="43"/>
    </row>
    <row r="192">
      <c r="D192" s="43"/>
      <c r="F192" s="43"/>
      <c r="G192" s="43"/>
      <c r="I192" s="43"/>
    </row>
    <row r="193">
      <c r="D193" s="43"/>
      <c r="F193" s="43"/>
      <c r="G193" s="43"/>
      <c r="I193" s="43"/>
    </row>
    <row r="194">
      <c r="D194" s="43"/>
      <c r="F194" s="43"/>
      <c r="G194" s="43"/>
      <c r="I194" s="43"/>
    </row>
    <row r="195">
      <c r="D195" s="43"/>
      <c r="F195" s="43"/>
      <c r="G195" s="43"/>
      <c r="I195" s="43"/>
    </row>
    <row r="196">
      <c r="D196" s="43"/>
      <c r="F196" s="43"/>
      <c r="G196" s="43"/>
      <c r="I196" s="43"/>
    </row>
    <row r="197">
      <c r="D197" s="43"/>
      <c r="F197" s="43"/>
      <c r="G197" s="43"/>
      <c r="I197" s="43"/>
    </row>
    <row r="198">
      <c r="D198" s="43"/>
      <c r="F198" s="43"/>
      <c r="G198" s="43"/>
      <c r="I198" s="43"/>
    </row>
    <row r="199">
      <c r="D199" s="43"/>
      <c r="F199" s="43"/>
      <c r="G199" s="43"/>
      <c r="I199" s="43"/>
    </row>
    <row r="200">
      <c r="D200" s="43"/>
      <c r="F200" s="43"/>
      <c r="G200" s="43"/>
      <c r="I200" s="43"/>
    </row>
    <row r="201">
      <c r="D201" s="43"/>
      <c r="F201" s="43"/>
      <c r="G201" s="43"/>
      <c r="I201" s="43"/>
    </row>
    <row r="202">
      <c r="D202" s="43"/>
      <c r="F202" s="43"/>
      <c r="G202" s="43"/>
      <c r="I202" s="43"/>
    </row>
    <row r="203">
      <c r="D203" s="43"/>
      <c r="F203" s="43"/>
      <c r="G203" s="43"/>
      <c r="I203" s="43"/>
    </row>
    <row r="204">
      <c r="D204" s="43"/>
      <c r="F204" s="43"/>
      <c r="G204" s="43"/>
      <c r="I204" s="43"/>
    </row>
    <row r="205">
      <c r="D205" s="43"/>
      <c r="F205" s="43"/>
      <c r="G205" s="43"/>
      <c r="I205" s="43"/>
    </row>
    <row r="206">
      <c r="D206" s="43"/>
      <c r="F206" s="43"/>
      <c r="G206" s="43"/>
      <c r="I206" s="43"/>
    </row>
    <row r="207">
      <c r="D207" s="43"/>
      <c r="F207" s="43"/>
      <c r="G207" s="43"/>
      <c r="I207" s="43"/>
    </row>
    <row r="208">
      <c r="D208" s="43"/>
      <c r="F208" s="43"/>
      <c r="G208" s="43"/>
      <c r="I208" s="43"/>
    </row>
    <row r="209">
      <c r="D209" s="43"/>
      <c r="F209" s="43"/>
      <c r="G209" s="43"/>
      <c r="I209" s="43"/>
    </row>
    <row r="210">
      <c r="D210" s="43"/>
      <c r="F210" s="43"/>
      <c r="G210" s="43"/>
      <c r="I210" s="43"/>
    </row>
    <row r="211">
      <c r="D211" s="43"/>
      <c r="F211" s="43"/>
      <c r="G211" s="43"/>
      <c r="I211" s="43"/>
    </row>
    <row r="212">
      <c r="D212" s="43"/>
      <c r="F212" s="43"/>
      <c r="G212" s="43"/>
      <c r="I212" s="43"/>
    </row>
    <row r="213">
      <c r="D213" s="43"/>
      <c r="F213" s="43"/>
      <c r="G213" s="43"/>
      <c r="I213" s="43"/>
    </row>
    <row r="214">
      <c r="D214" s="43"/>
      <c r="F214" s="43"/>
      <c r="G214" s="43"/>
      <c r="I214" s="43"/>
    </row>
    <row r="215">
      <c r="D215" s="43"/>
      <c r="F215" s="43"/>
      <c r="G215" s="43"/>
      <c r="I215" s="43"/>
    </row>
    <row r="216">
      <c r="D216" s="43"/>
      <c r="F216" s="43"/>
      <c r="G216" s="43"/>
      <c r="I216" s="43"/>
    </row>
    <row r="217">
      <c r="D217" s="43"/>
      <c r="F217" s="43"/>
      <c r="G217" s="43"/>
      <c r="I217" s="43"/>
    </row>
    <row r="218">
      <c r="D218" s="43"/>
      <c r="F218" s="43"/>
      <c r="G218" s="43"/>
      <c r="I218" s="43"/>
    </row>
    <row r="219">
      <c r="D219" s="43"/>
      <c r="F219" s="43"/>
      <c r="G219" s="43"/>
      <c r="I219" s="43"/>
    </row>
    <row r="220">
      <c r="D220" s="43"/>
      <c r="F220" s="43"/>
      <c r="G220" s="43"/>
      <c r="I220" s="43"/>
    </row>
    <row r="221">
      <c r="D221" s="43"/>
      <c r="F221" s="43"/>
      <c r="G221" s="43"/>
      <c r="I221" s="43"/>
    </row>
    <row r="222">
      <c r="D222" s="43"/>
      <c r="F222" s="43"/>
      <c r="G222" s="43"/>
      <c r="I222" s="43"/>
    </row>
    <row r="223">
      <c r="D223" s="43"/>
      <c r="F223" s="43"/>
      <c r="G223" s="43"/>
      <c r="I223" s="43"/>
    </row>
    <row r="224">
      <c r="D224" s="43"/>
      <c r="F224" s="43"/>
      <c r="G224" s="43"/>
      <c r="I224" s="43"/>
    </row>
    <row r="225">
      <c r="D225" s="43"/>
      <c r="F225" s="43"/>
      <c r="G225" s="43"/>
      <c r="I225" s="43"/>
    </row>
    <row r="226">
      <c r="D226" s="43"/>
      <c r="F226" s="43"/>
      <c r="G226" s="43"/>
      <c r="I226" s="43"/>
    </row>
    <row r="227">
      <c r="D227" s="43"/>
      <c r="F227" s="43"/>
      <c r="G227" s="43"/>
      <c r="I227" s="43"/>
    </row>
    <row r="228">
      <c r="D228" s="43"/>
      <c r="F228" s="43"/>
      <c r="G228" s="43"/>
      <c r="I228" s="43"/>
    </row>
    <row r="229">
      <c r="D229" s="43"/>
      <c r="F229" s="43"/>
      <c r="G229" s="43"/>
      <c r="I229" s="43"/>
    </row>
    <row r="230">
      <c r="D230" s="43"/>
      <c r="F230" s="43"/>
      <c r="G230" s="43"/>
      <c r="I230" s="43"/>
    </row>
    <row r="231">
      <c r="D231" s="43"/>
      <c r="F231" s="43"/>
      <c r="G231" s="43"/>
      <c r="I231" s="43"/>
    </row>
    <row r="232">
      <c r="D232" s="43"/>
      <c r="F232" s="43"/>
      <c r="G232" s="43"/>
      <c r="I232" s="43"/>
    </row>
    <row r="233">
      <c r="D233" s="43"/>
      <c r="F233" s="43"/>
      <c r="G233" s="43"/>
      <c r="I233" s="43"/>
    </row>
    <row r="234">
      <c r="D234" s="43"/>
      <c r="F234" s="43"/>
      <c r="G234" s="43"/>
      <c r="I234" s="43"/>
    </row>
    <row r="235">
      <c r="D235" s="43"/>
      <c r="F235" s="43"/>
      <c r="G235" s="43"/>
      <c r="I235" s="43"/>
    </row>
    <row r="236">
      <c r="D236" s="43"/>
      <c r="F236" s="43"/>
      <c r="G236" s="43"/>
      <c r="I236" s="43"/>
    </row>
    <row r="237">
      <c r="D237" s="43"/>
      <c r="F237" s="43"/>
      <c r="G237" s="43"/>
      <c r="I237" s="43"/>
    </row>
    <row r="238">
      <c r="D238" s="43"/>
      <c r="F238" s="43"/>
      <c r="G238" s="43"/>
      <c r="I238" s="43"/>
    </row>
    <row r="239">
      <c r="D239" s="43"/>
      <c r="F239" s="43"/>
      <c r="G239" s="43"/>
      <c r="I239" s="43"/>
    </row>
    <row r="240">
      <c r="D240" s="43"/>
      <c r="F240" s="43"/>
      <c r="G240" s="43"/>
      <c r="I240" s="43"/>
    </row>
    <row r="241">
      <c r="D241" s="43"/>
      <c r="F241" s="43"/>
      <c r="G241" s="43"/>
      <c r="I241" s="43"/>
    </row>
    <row r="242">
      <c r="D242" s="43"/>
      <c r="F242" s="43"/>
      <c r="G242" s="43"/>
      <c r="I242" s="43"/>
    </row>
    <row r="243">
      <c r="D243" s="43"/>
      <c r="F243" s="43"/>
      <c r="G243" s="43"/>
      <c r="I243" s="43"/>
    </row>
    <row r="244">
      <c r="D244" s="43"/>
      <c r="F244" s="43"/>
      <c r="G244" s="43"/>
      <c r="I244" s="43"/>
    </row>
    <row r="245">
      <c r="D245" s="43"/>
      <c r="F245" s="43"/>
      <c r="G245" s="43"/>
      <c r="I245" s="43"/>
    </row>
    <row r="246">
      <c r="D246" s="43"/>
      <c r="F246" s="43"/>
      <c r="G246" s="43"/>
      <c r="I246" s="43"/>
    </row>
    <row r="247">
      <c r="D247" s="43"/>
      <c r="F247" s="43"/>
      <c r="G247" s="43"/>
      <c r="I247" s="43"/>
    </row>
    <row r="248">
      <c r="D248" s="43"/>
      <c r="F248" s="43"/>
      <c r="G248" s="43"/>
      <c r="I248" s="43"/>
    </row>
    <row r="249">
      <c r="D249" s="43"/>
      <c r="F249" s="43"/>
      <c r="G249" s="43"/>
      <c r="I249" s="43"/>
    </row>
    <row r="250">
      <c r="D250" s="43"/>
      <c r="F250" s="43"/>
      <c r="G250" s="43"/>
      <c r="I250" s="43"/>
    </row>
    <row r="251">
      <c r="D251" s="43"/>
      <c r="F251" s="43"/>
      <c r="G251" s="43"/>
      <c r="I251" s="43"/>
    </row>
    <row r="252">
      <c r="D252" s="43"/>
      <c r="F252" s="43"/>
      <c r="G252" s="43"/>
      <c r="I252" s="43"/>
    </row>
    <row r="253">
      <c r="D253" s="43"/>
      <c r="F253" s="43"/>
      <c r="G253" s="43"/>
      <c r="I253" s="43"/>
    </row>
    <row r="254">
      <c r="D254" s="43"/>
      <c r="F254" s="43"/>
      <c r="G254" s="43"/>
      <c r="I254" s="43"/>
    </row>
    <row r="255">
      <c r="D255" s="43"/>
      <c r="F255" s="43"/>
      <c r="G255" s="43"/>
      <c r="I255" s="43"/>
    </row>
    <row r="256">
      <c r="D256" s="43"/>
      <c r="F256" s="43"/>
      <c r="G256" s="43"/>
      <c r="I256" s="43"/>
    </row>
    <row r="257">
      <c r="D257" s="43"/>
      <c r="F257" s="43"/>
      <c r="G257" s="43"/>
      <c r="I257" s="43"/>
    </row>
    <row r="258">
      <c r="D258" s="43"/>
      <c r="F258" s="43"/>
      <c r="G258" s="43"/>
      <c r="I258" s="43"/>
    </row>
    <row r="259">
      <c r="D259" s="43"/>
      <c r="F259" s="43"/>
      <c r="G259" s="43"/>
      <c r="I259" s="43"/>
    </row>
    <row r="260">
      <c r="D260" s="43"/>
      <c r="F260" s="43"/>
      <c r="G260" s="43"/>
      <c r="I260" s="43"/>
    </row>
    <row r="261">
      <c r="D261" s="43"/>
      <c r="F261" s="43"/>
      <c r="G261" s="43"/>
      <c r="I261" s="43"/>
    </row>
    <row r="262">
      <c r="D262" s="43"/>
      <c r="F262" s="43"/>
      <c r="G262" s="43"/>
      <c r="I262" s="43"/>
    </row>
    <row r="263">
      <c r="D263" s="43"/>
      <c r="F263" s="43"/>
      <c r="G263" s="43"/>
      <c r="I263" s="43"/>
    </row>
    <row r="264">
      <c r="D264" s="43"/>
      <c r="F264" s="43"/>
      <c r="G264" s="43"/>
      <c r="I264" s="43"/>
    </row>
    <row r="265">
      <c r="D265" s="43"/>
      <c r="F265" s="43"/>
      <c r="G265" s="43"/>
      <c r="I265" s="43"/>
    </row>
    <row r="266">
      <c r="D266" s="43"/>
      <c r="F266" s="43"/>
      <c r="G266" s="43"/>
      <c r="I266" s="43"/>
    </row>
    <row r="267">
      <c r="D267" s="43"/>
      <c r="F267" s="43"/>
      <c r="G267" s="43"/>
      <c r="I267" s="43"/>
    </row>
    <row r="268">
      <c r="D268" s="43"/>
      <c r="F268" s="43"/>
      <c r="G268" s="43"/>
      <c r="I268" s="43"/>
    </row>
    <row r="269">
      <c r="D269" s="43"/>
      <c r="F269" s="43"/>
      <c r="G269" s="43"/>
      <c r="I269" s="43"/>
    </row>
    <row r="270">
      <c r="D270" s="43"/>
      <c r="F270" s="43"/>
      <c r="G270" s="43"/>
      <c r="I270" s="43"/>
    </row>
    <row r="271">
      <c r="D271" s="43"/>
      <c r="F271" s="43"/>
      <c r="G271" s="43"/>
      <c r="I271" s="43"/>
    </row>
    <row r="272">
      <c r="D272" s="43"/>
      <c r="F272" s="43"/>
      <c r="G272" s="43"/>
      <c r="I272" s="43"/>
    </row>
    <row r="273">
      <c r="D273" s="43"/>
      <c r="F273" s="43"/>
      <c r="G273" s="43"/>
      <c r="I273" s="43"/>
    </row>
    <row r="274">
      <c r="D274" s="43"/>
      <c r="F274" s="43"/>
      <c r="G274" s="43"/>
      <c r="I274" s="43"/>
    </row>
    <row r="275">
      <c r="D275" s="43"/>
      <c r="F275" s="43"/>
      <c r="G275" s="43"/>
      <c r="I275" s="43"/>
    </row>
    <row r="276">
      <c r="D276" s="43"/>
      <c r="F276" s="43"/>
      <c r="G276" s="43"/>
      <c r="I276" s="43"/>
    </row>
    <row r="277">
      <c r="D277" s="43"/>
      <c r="F277" s="43"/>
      <c r="G277" s="43"/>
      <c r="I277" s="43"/>
    </row>
    <row r="278">
      <c r="D278" s="43"/>
      <c r="F278" s="43"/>
      <c r="G278" s="43"/>
      <c r="I278" s="43"/>
    </row>
    <row r="279">
      <c r="D279" s="43"/>
      <c r="F279" s="43"/>
      <c r="G279" s="43"/>
      <c r="I279" s="43"/>
    </row>
    <row r="280">
      <c r="D280" s="43"/>
      <c r="F280" s="43"/>
      <c r="G280" s="43"/>
      <c r="I280" s="43"/>
    </row>
    <row r="281">
      <c r="D281" s="43"/>
      <c r="F281" s="43"/>
      <c r="G281" s="43"/>
      <c r="I281" s="43"/>
    </row>
    <row r="282">
      <c r="D282" s="43"/>
      <c r="F282" s="43"/>
      <c r="G282" s="43"/>
      <c r="I282" s="43"/>
    </row>
    <row r="283">
      <c r="D283" s="43"/>
      <c r="F283" s="43"/>
      <c r="G283" s="43"/>
      <c r="I283" s="43"/>
    </row>
    <row r="284">
      <c r="D284" s="43"/>
      <c r="F284" s="43"/>
      <c r="G284" s="43"/>
      <c r="I284" s="43"/>
    </row>
    <row r="285">
      <c r="D285" s="43"/>
      <c r="F285" s="43"/>
      <c r="G285" s="43"/>
      <c r="I285" s="43"/>
    </row>
    <row r="286">
      <c r="D286" s="43"/>
      <c r="F286" s="43"/>
      <c r="G286" s="43"/>
      <c r="I286" s="43"/>
    </row>
    <row r="287">
      <c r="D287" s="43"/>
      <c r="F287" s="43"/>
      <c r="G287" s="43"/>
      <c r="I287" s="43"/>
    </row>
    <row r="288">
      <c r="D288" s="43"/>
      <c r="F288" s="43"/>
      <c r="G288" s="43"/>
      <c r="I288" s="43"/>
    </row>
    <row r="289">
      <c r="D289" s="43"/>
      <c r="F289" s="43"/>
      <c r="G289" s="43"/>
      <c r="I289" s="43"/>
    </row>
    <row r="290">
      <c r="D290" s="43"/>
      <c r="F290" s="43"/>
      <c r="G290" s="43"/>
      <c r="I290" s="43"/>
    </row>
    <row r="291">
      <c r="D291" s="43"/>
      <c r="F291" s="43"/>
      <c r="G291" s="43"/>
      <c r="I291" s="43"/>
    </row>
    <row r="292">
      <c r="D292" s="43"/>
      <c r="F292" s="43"/>
      <c r="G292" s="43"/>
      <c r="I292" s="43"/>
    </row>
    <row r="293">
      <c r="D293" s="43"/>
      <c r="F293" s="43"/>
      <c r="G293" s="43"/>
      <c r="I293" s="43"/>
    </row>
    <row r="294">
      <c r="D294" s="43"/>
      <c r="F294" s="43"/>
      <c r="G294" s="43"/>
      <c r="I294" s="43"/>
    </row>
    <row r="295">
      <c r="D295" s="43"/>
      <c r="F295" s="43"/>
      <c r="G295" s="43"/>
      <c r="I295" s="43"/>
    </row>
    <row r="296">
      <c r="D296" s="43"/>
      <c r="F296" s="43"/>
      <c r="G296" s="43"/>
      <c r="I296" s="43"/>
    </row>
    <row r="297">
      <c r="D297" s="43"/>
      <c r="F297" s="43"/>
      <c r="G297" s="43"/>
      <c r="I297" s="43"/>
    </row>
    <row r="298">
      <c r="D298" s="43"/>
      <c r="F298" s="43"/>
      <c r="G298" s="43"/>
      <c r="I298" s="43"/>
    </row>
    <row r="299">
      <c r="D299" s="43"/>
      <c r="F299" s="43"/>
      <c r="G299" s="43"/>
      <c r="I299" s="43"/>
    </row>
    <row r="300">
      <c r="D300" s="43"/>
      <c r="F300" s="43"/>
      <c r="G300" s="43"/>
      <c r="I300" s="43"/>
    </row>
    <row r="301">
      <c r="D301" s="43"/>
      <c r="F301" s="43"/>
      <c r="G301" s="43"/>
      <c r="I301" s="43"/>
    </row>
    <row r="302">
      <c r="D302" s="43"/>
      <c r="F302" s="43"/>
      <c r="G302" s="43"/>
      <c r="I302" s="43"/>
    </row>
    <row r="303">
      <c r="D303" s="43"/>
      <c r="F303" s="43"/>
      <c r="G303" s="43"/>
      <c r="I303" s="43"/>
    </row>
    <row r="304">
      <c r="D304" s="43"/>
      <c r="F304" s="43"/>
      <c r="G304" s="43"/>
      <c r="I304" s="43"/>
    </row>
    <row r="305">
      <c r="D305" s="43"/>
      <c r="F305" s="43"/>
      <c r="G305" s="43"/>
      <c r="I305" s="43"/>
    </row>
    <row r="306">
      <c r="D306" s="43"/>
      <c r="F306" s="43"/>
      <c r="G306" s="43"/>
      <c r="I306" s="43"/>
    </row>
    <row r="307">
      <c r="D307" s="43"/>
      <c r="F307" s="43"/>
      <c r="G307" s="43"/>
      <c r="I307" s="43"/>
    </row>
    <row r="308">
      <c r="D308" s="43"/>
      <c r="F308" s="43"/>
      <c r="G308" s="43"/>
      <c r="I308" s="43"/>
    </row>
    <row r="309">
      <c r="D309" s="43"/>
      <c r="F309" s="43"/>
      <c r="G309" s="43"/>
      <c r="I309" s="43"/>
    </row>
    <row r="310">
      <c r="D310" s="43"/>
      <c r="F310" s="43"/>
      <c r="G310" s="43"/>
      <c r="I310" s="43"/>
    </row>
    <row r="311">
      <c r="D311" s="43"/>
      <c r="F311" s="43"/>
      <c r="G311" s="43"/>
      <c r="I311" s="43"/>
    </row>
    <row r="312">
      <c r="D312" s="43"/>
      <c r="F312" s="43"/>
      <c r="G312" s="43"/>
      <c r="I312" s="43"/>
    </row>
    <row r="313">
      <c r="D313" s="43"/>
      <c r="F313" s="43"/>
      <c r="G313" s="43"/>
      <c r="I313" s="43"/>
    </row>
    <row r="314">
      <c r="D314" s="43"/>
      <c r="F314" s="43"/>
      <c r="G314" s="43"/>
      <c r="I314" s="43"/>
    </row>
    <row r="315">
      <c r="D315" s="43"/>
      <c r="F315" s="43"/>
      <c r="G315" s="43"/>
      <c r="I315" s="43"/>
    </row>
    <row r="316">
      <c r="D316" s="43"/>
      <c r="F316" s="43"/>
      <c r="G316" s="43"/>
      <c r="I316" s="43"/>
    </row>
    <row r="317">
      <c r="D317" s="43"/>
      <c r="F317" s="43"/>
      <c r="G317" s="43"/>
      <c r="I317" s="43"/>
    </row>
    <row r="318">
      <c r="D318" s="43"/>
      <c r="F318" s="43"/>
      <c r="G318" s="43"/>
      <c r="I318" s="43"/>
    </row>
    <row r="319">
      <c r="D319" s="43"/>
      <c r="F319" s="43"/>
      <c r="G319" s="43"/>
      <c r="I319" s="43"/>
    </row>
    <row r="320">
      <c r="D320" s="43"/>
      <c r="F320" s="43"/>
      <c r="G320" s="43"/>
      <c r="I320" s="43"/>
    </row>
    <row r="321">
      <c r="D321" s="43"/>
      <c r="F321" s="43"/>
      <c r="G321" s="43"/>
      <c r="I321" s="43"/>
    </row>
    <row r="322">
      <c r="D322" s="43"/>
      <c r="F322" s="43"/>
      <c r="G322" s="43"/>
      <c r="I322" s="43"/>
    </row>
    <row r="323">
      <c r="D323" s="43"/>
      <c r="F323" s="43"/>
      <c r="G323" s="43"/>
      <c r="I323" s="43"/>
    </row>
    <row r="324">
      <c r="D324" s="43"/>
      <c r="F324" s="43"/>
      <c r="G324" s="43"/>
      <c r="I324" s="43"/>
    </row>
    <row r="325">
      <c r="D325" s="43"/>
      <c r="F325" s="43"/>
      <c r="G325" s="43"/>
      <c r="I325" s="43"/>
    </row>
    <row r="326">
      <c r="D326" s="43"/>
      <c r="F326" s="43"/>
      <c r="G326" s="43"/>
      <c r="I326" s="43"/>
    </row>
    <row r="327">
      <c r="D327" s="43"/>
      <c r="F327" s="43"/>
      <c r="G327" s="43"/>
      <c r="I327" s="43"/>
    </row>
    <row r="328">
      <c r="D328" s="43"/>
      <c r="F328" s="43"/>
      <c r="G328" s="43"/>
      <c r="I328" s="43"/>
    </row>
    <row r="329">
      <c r="D329" s="43"/>
      <c r="F329" s="43"/>
      <c r="G329" s="43"/>
      <c r="I329" s="43"/>
    </row>
    <row r="330">
      <c r="D330" s="43"/>
      <c r="F330" s="43"/>
      <c r="G330" s="43"/>
      <c r="I330" s="43"/>
    </row>
    <row r="331">
      <c r="D331" s="43"/>
      <c r="F331" s="43"/>
      <c r="G331" s="43"/>
      <c r="I331" s="43"/>
    </row>
    <row r="332">
      <c r="D332" s="43"/>
      <c r="F332" s="43"/>
      <c r="G332" s="43"/>
      <c r="I332" s="43"/>
    </row>
    <row r="333">
      <c r="D333" s="43"/>
      <c r="F333" s="43"/>
      <c r="G333" s="43"/>
      <c r="I333" s="43"/>
    </row>
    <row r="334">
      <c r="D334" s="43"/>
      <c r="F334" s="43"/>
      <c r="G334" s="43"/>
      <c r="I334" s="43"/>
    </row>
    <row r="335">
      <c r="D335" s="43"/>
      <c r="F335" s="43"/>
      <c r="G335" s="43"/>
      <c r="I335" s="43"/>
    </row>
    <row r="336">
      <c r="D336" s="43"/>
      <c r="F336" s="43"/>
      <c r="G336" s="43"/>
      <c r="I336" s="43"/>
    </row>
    <row r="337">
      <c r="D337" s="43"/>
      <c r="F337" s="43"/>
      <c r="G337" s="43"/>
      <c r="I337" s="43"/>
    </row>
    <row r="338">
      <c r="D338" s="43"/>
      <c r="F338" s="43"/>
      <c r="G338" s="43"/>
      <c r="I338" s="43"/>
    </row>
    <row r="339">
      <c r="D339" s="43"/>
      <c r="F339" s="43"/>
      <c r="G339" s="43"/>
      <c r="I339" s="43"/>
    </row>
    <row r="340">
      <c r="D340" s="43"/>
      <c r="F340" s="43"/>
      <c r="G340" s="43"/>
      <c r="I340" s="43"/>
    </row>
    <row r="341">
      <c r="D341" s="43"/>
      <c r="F341" s="43"/>
      <c r="G341" s="43"/>
      <c r="I341" s="43"/>
    </row>
    <row r="342">
      <c r="D342" s="43"/>
      <c r="F342" s="43"/>
      <c r="G342" s="43"/>
      <c r="I342" s="43"/>
    </row>
    <row r="343">
      <c r="D343" s="43"/>
      <c r="F343" s="43"/>
      <c r="G343" s="43"/>
      <c r="I343" s="43"/>
    </row>
    <row r="344">
      <c r="D344" s="43"/>
      <c r="F344" s="43"/>
      <c r="G344" s="43"/>
      <c r="I344" s="43"/>
    </row>
    <row r="345">
      <c r="D345" s="43"/>
      <c r="F345" s="43"/>
      <c r="G345" s="43"/>
      <c r="I345" s="43"/>
    </row>
    <row r="346">
      <c r="D346" s="43"/>
      <c r="F346" s="43"/>
      <c r="G346" s="43"/>
      <c r="I346" s="43"/>
    </row>
    <row r="347">
      <c r="D347" s="43"/>
      <c r="F347" s="43"/>
      <c r="G347" s="43"/>
      <c r="I347" s="43"/>
    </row>
    <row r="348">
      <c r="D348" s="43"/>
      <c r="F348" s="43"/>
      <c r="G348" s="43"/>
      <c r="I348" s="43"/>
    </row>
    <row r="349">
      <c r="D349" s="43"/>
      <c r="F349" s="43"/>
      <c r="G349" s="43"/>
      <c r="I349" s="43"/>
    </row>
    <row r="350">
      <c r="D350" s="43"/>
      <c r="F350" s="43"/>
      <c r="G350" s="43"/>
      <c r="I350" s="43"/>
    </row>
    <row r="351">
      <c r="D351" s="43"/>
      <c r="F351" s="43"/>
      <c r="G351" s="43"/>
      <c r="I351" s="43"/>
    </row>
    <row r="352">
      <c r="D352" s="43"/>
      <c r="F352" s="43"/>
      <c r="G352" s="43"/>
      <c r="I352" s="43"/>
    </row>
    <row r="353">
      <c r="D353" s="43"/>
      <c r="F353" s="43"/>
      <c r="G353" s="43"/>
      <c r="I353" s="43"/>
    </row>
    <row r="354">
      <c r="D354" s="43"/>
      <c r="F354" s="43"/>
      <c r="G354" s="43"/>
      <c r="I354" s="43"/>
    </row>
    <row r="355">
      <c r="D355" s="43"/>
      <c r="F355" s="43"/>
      <c r="G355" s="43"/>
      <c r="I355" s="43"/>
    </row>
    <row r="356">
      <c r="D356" s="43"/>
      <c r="F356" s="43"/>
      <c r="G356" s="43"/>
      <c r="I356" s="43"/>
    </row>
    <row r="357">
      <c r="D357" s="43"/>
      <c r="F357" s="43"/>
      <c r="G357" s="43"/>
      <c r="I357" s="43"/>
    </row>
    <row r="358">
      <c r="D358" s="43"/>
      <c r="F358" s="43"/>
      <c r="G358" s="43"/>
      <c r="I358" s="43"/>
    </row>
    <row r="359">
      <c r="D359" s="43"/>
      <c r="F359" s="43"/>
      <c r="G359" s="43"/>
      <c r="I359" s="43"/>
    </row>
    <row r="360">
      <c r="D360" s="43"/>
      <c r="F360" s="43"/>
      <c r="G360" s="43"/>
      <c r="I360" s="43"/>
    </row>
    <row r="361">
      <c r="D361" s="43"/>
      <c r="F361" s="43"/>
      <c r="G361" s="43"/>
      <c r="I361" s="43"/>
    </row>
    <row r="362">
      <c r="D362" s="43"/>
      <c r="F362" s="43"/>
      <c r="G362" s="43"/>
      <c r="I362" s="43"/>
    </row>
    <row r="363">
      <c r="D363" s="43"/>
      <c r="F363" s="43"/>
      <c r="G363" s="43"/>
      <c r="I363" s="43"/>
    </row>
    <row r="364">
      <c r="D364" s="43"/>
      <c r="F364" s="43"/>
      <c r="G364" s="43"/>
      <c r="I364" s="43"/>
    </row>
    <row r="365">
      <c r="D365" s="43"/>
      <c r="F365" s="43"/>
      <c r="G365" s="43"/>
      <c r="I365" s="43"/>
    </row>
    <row r="366">
      <c r="D366" s="43"/>
      <c r="F366" s="43"/>
      <c r="G366" s="43"/>
      <c r="I366" s="43"/>
    </row>
    <row r="367">
      <c r="D367" s="43"/>
      <c r="F367" s="43"/>
      <c r="G367" s="43"/>
      <c r="I367" s="43"/>
    </row>
    <row r="368">
      <c r="D368" s="43"/>
      <c r="F368" s="43"/>
      <c r="G368" s="43"/>
      <c r="I368" s="43"/>
    </row>
    <row r="369">
      <c r="D369" s="43"/>
      <c r="F369" s="43"/>
      <c r="G369" s="43"/>
      <c r="I369" s="43"/>
    </row>
    <row r="370">
      <c r="D370" s="43"/>
      <c r="F370" s="43"/>
      <c r="G370" s="43"/>
      <c r="I370" s="43"/>
    </row>
    <row r="371">
      <c r="D371" s="43"/>
      <c r="F371" s="43"/>
      <c r="G371" s="43"/>
      <c r="I371" s="43"/>
    </row>
    <row r="372">
      <c r="D372" s="43"/>
      <c r="F372" s="43"/>
      <c r="G372" s="43"/>
      <c r="I372" s="43"/>
    </row>
    <row r="373">
      <c r="D373" s="43"/>
      <c r="F373" s="43"/>
      <c r="G373" s="43"/>
      <c r="I373" s="43"/>
    </row>
    <row r="374">
      <c r="D374" s="43"/>
      <c r="F374" s="43"/>
      <c r="G374" s="43"/>
      <c r="I374" s="43"/>
    </row>
    <row r="375">
      <c r="D375" s="43"/>
      <c r="F375" s="43"/>
      <c r="G375" s="43"/>
      <c r="I375" s="43"/>
    </row>
    <row r="376">
      <c r="D376" s="43"/>
      <c r="F376" s="43"/>
      <c r="G376" s="43"/>
      <c r="I376" s="43"/>
    </row>
    <row r="377">
      <c r="D377" s="43"/>
      <c r="F377" s="43"/>
      <c r="G377" s="43"/>
      <c r="I377" s="43"/>
    </row>
    <row r="378">
      <c r="D378" s="43"/>
      <c r="F378" s="43"/>
      <c r="G378" s="43"/>
      <c r="I378" s="43"/>
    </row>
    <row r="379">
      <c r="D379" s="43"/>
      <c r="F379" s="43"/>
      <c r="G379" s="43"/>
      <c r="I379" s="43"/>
    </row>
    <row r="380">
      <c r="D380" s="43"/>
      <c r="F380" s="43"/>
      <c r="G380" s="43"/>
      <c r="I380" s="43"/>
    </row>
    <row r="381">
      <c r="D381" s="43"/>
      <c r="F381" s="43"/>
      <c r="G381" s="43"/>
      <c r="I381" s="43"/>
    </row>
    <row r="382">
      <c r="D382" s="43"/>
      <c r="F382" s="43"/>
      <c r="G382" s="43"/>
      <c r="I382" s="43"/>
    </row>
    <row r="383">
      <c r="D383" s="43"/>
      <c r="F383" s="43"/>
      <c r="G383" s="43"/>
      <c r="I383" s="43"/>
    </row>
    <row r="384">
      <c r="D384" s="43"/>
      <c r="F384" s="43"/>
      <c r="G384" s="43"/>
      <c r="I384" s="43"/>
    </row>
    <row r="385">
      <c r="D385" s="43"/>
      <c r="F385" s="43"/>
      <c r="G385" s="43"/>
      <c r="I385" s="43"/>
    </row>
    <row r="386">
      <c r="D386" s="43"/>
      <c r="F386" s="43"/>
      <c r="G386" s="43"/>
      <c r="I386" s="43"/>
    </row>
    <row r="387">
      <c r="D387" s="43"/>
      <c r="F387" s="43"/>
      <c r="G387" s="43"/>
      <c r="I387" s="43"/>
    </row>
    <row r="388">
      <c r="D388" s="43"/>
      <c r="F388" s="43"/>
      <c r="G388" s="43"/>
      <c r="I388" s="43"/>
    </row>
    <row r="389">
      <c r="D389" s="43"/>
      <c r="F389" s="43"/>
      <c r="G389" s="43"/>
      <c r="I389" s="43"/>
    </row>
    <row r="390">
      <c r="D390" s="43"/>
      <c r="F390" s="43"/>
      <c r="G390" s="43"/>
      <c r="I390" s="43"/>
    </row>
    <row r="391">
      <c r="D391" s="43"/>
      <c r="F391" s="43"/>
      <c r="G391" s="43"/>
      <c r="I391" s="43"/>
    </row>
    <row r="392">
      <c r="D392" s="43"/>
      <c r="F392" s="43"/>
      <c r="G392" s="43"/>
      <c r="I392" s="43"/>
    </row>
    <row r="393">
      <c r="D393" s="43"/>
      <c r="F393" s="43"/>
      <c r="G393" s="43"/>
      <c r="I393" s="43"/>
    </row>
    <row r="394">
      <c r="D394" s="43"/>
      <c r="F394" s="43"/>
      <c r="G394" s="43"/>
      <c r="I394" s="43"/>
    </row>
    <row r="395">
      <c r="D395" s="43"/>
      <c r="F395" s="43"/>
      <c r="G395" s="43"/>
      <c r="I395" s="43"/>
    </row>
    <row r="396">
      <c r="D396" s="43"/>
      <c r="F396" s="43"/>
      <c r="G396" s="43"/>
      <c r="I396" s="43"/>
    </row>
    <row r="397">
      <c r="D397" s="43"/>
      <c r="F397" s="43"/>
      <c r="G397" s="43"/>
      <c r="I397" s="43"/>
    </row>
    <row r="398">
      <c r="D398" s="43"/>
      <c r="F398" s="43"/>
      <c r="G398" s="43"/>
      <c r="I398" s="43"/>
    </row>
    <row r="399">
      <c r="D399" s="43"/>
      <c r="F399" s="43"/>
      <c r="G399" s="43"/>
      <c r="I399" s="43"/>
    </row>
    <row r="400">
      <c r="D400" s="43"/>
      <c r="F400" s="43"/>
      <c r="G400" s="43"/>
      <c r="I400" s="43"/>
    </row>
    <row r="401">
      <c r="D401" s="43"/>
      <c r="F401" s="43"/>
      <c r="G401" s="43"/>
      <c r="I401" s="43"/>
    </row>
    <row r="402">
      <c r="D402" s="43"/>
      <c r="F402" s="43"/>
      <c r="G402" s="43"/>
      <c r="I402" s="43"/>
    </row>
    <row r="403">
      <c r="D403" s="43"/>
      <c r="F403" s="43"/>
      <c r="G403" s="43"/>
      <c r="I403" s="43"/>
    </row>
    <row r="404">
      <c r="D404" s="43"/>
      <c r="F404" s="43"/>
      <c r="G404" s="43"/>
      <c r="I404" s="43"/>
    </row>
    <row r="405">
      <c r="D405" s="43"/>
      <c r="F405" s="43"/>
      <c r="G405" s="43"/>
      <c r="I405" s="43"/>
    </row>
    <row r="406">
      <c r="D406" s="43"/>
      <c r="F406" s="43"/>
      <c r="G406" s="43"/>
      <c r="I406" s="43"/>
    </row>
    <row r="407">
      <c r="D407" s="43"/>
      <c r="F407" s="43"/>
      <c r="G407" s="43"/>
      <c r="I407" s="43"/>
    </row>
    <row r="408">
      <c r="D408" s="43"/>
      <c r="F408" s="43"/>
      <c r="G408" s="43"/>
      <c r="I408" s="43"/>
    </row>
    <row r="409">
      <c r="D409" s="43"/>
      <c r="F409" s="43"/>
      <c r="G409" s="43"/>
      <c r="I409" s="43"/>
    </row>
    <row r="410">
      <c r="D410" s="43"/>
      <c r="F410" s="43"/>
      <c r="G410" s="43"/>
      <c r="I410" s="43"/>
    </row>
    <row r="411">
      <c r="D411" s="43"/>
      <c r="F411" s="43"/>
      <c r="G411" s="43"/>
      <c r="I411" s="43"/>
    </row>
    <row r="412">
      <c r="D412" s="43"/>
      <c r="F412" s="43"/>
      <c r="G412" s="43"/>
      <c r="I412" s="43"/>
    </row>
    <row r="413">
      <c r="D413" s="43"/>
      <c r="F413" s="43"/>
      <c r="G413" s="43"/>
      <c r="I413" s="43"/>
    </row>
    <row r="414">
      <c r="D414" s="43"/>
      <c r="F414" s="43"/>
      <c r="G414" s="43"/>
      <c r="I414" s="43"/>
    </row>
    <row r="415">
      <c r="D415" s="43"/>
      <c r="F415" s="43"/>
      <c r="G415" s="43"/>
      <c r="I415" s="43"/>
    </row>
    <row r="416">
      <c r="D416" s="43"/>
      <c r="F416" s="43"/>
      <c r="G416" s="43"/>
      <c r="I416" s="43"/>
    </row>
    <row r="417">
      <c r="D417" s="43"/>
      <c r="F417" s="43"/>
      <c r="G417" s="43"/>
      <c r="I417" s="43"/>
    </row>
    <row r="418">
      <c r="D418" s="43"/>
      <c r="F418" s="43"/>
      <c r="G418" s="43"/>
      <c r="I418" s="43"/>
    </row>
    <row r="419">
      <c r="D419" s="43"/>
      <c r="F419" s="43"/>
      <c r="G419" s="43"/>
      <c r="I419" s="43"/>
    </row>
    <row r="420">
      <c r="D420" s="43"/>
      <c r="F420" s="43"/>
      <c r="G420" s="43"/>
      <c r="I420" s="43"/>
    </row>
    <row r="421">
      <c r="D421" s="43"/>
      <c r="F421" s="43"/>
      <c r="G421" s="43"/>
      <c r="I421" s="43"/>
    </row>
    <row r="422">
      <c r="D422" s="43"/>
      <c r="F422" s="43"/>
      <c r="G422" s="43"/>
      <c r="I422" s="43"/>
    </row>
    <row r="423">
      <c r="D423" s="43"/>
      <c r="F423" s="43"/>
      <c r="G423" s="43"/>
      <c r="I423" s="43"/>
    </row>
    <row r="424">
      <c r="D424" s="43"/>
      <c r="F424" s="43"/>
      <c r="G424" s="43"/>
      <c r="I424" s="43"/>
    </row>
    <row r="425">
      <c r="D425" s="43"/>
      <c r="F425" s="43"/>
      <c r="G425" s="43"/>
      <c r="I425" s="43"/>
    </row>
    <row r="426">
      <c r="D426" s="43"/>
      <c r="F426" s="43"/>
      <c r="G426" s="43"/>
      <c r="I426" s="43"/>
    </row>
    <row r="427">
      <c r="D427" s="43"/>
      <c r="F427" s="43"/>
      <c r="G427" s="43"/>
      <c r="I427" s="43"/>
    </row>
    <row r="428">
      <c r="D428" s="43"/>
      <c r="F428" s="43"/>
      <c r="G428" s="43"/>
      <c r="I428" s="43"/>
    </row>
    <row r="429">
      <c r="D429" s="43"/>
      <c r="F429" s="43"/>
      <c r="G429" s="43"/>
      <c r="I429" s="43"/>
    </row>
    <row r="430">
      <c r="D430" s="43"/>
      <c r="F430" s="43"/>
      <c r="G430" s="43"/>
      <c r="I430" s="43"/>
    </row>
    <row r="431">
      <c r="D431" s="43"/>
      <c r="F431" s="43"/>
      <c r="G431" s="43"/>
      <c r="I431" s="43"/>
    </row>
    <row r="432">
      <c r="D432" s="43"/>
      <c r="F432" s="43"/>
      <c r="G432" s="43"/>
      <c r="I432" s="43"/>
    </row>
    <row r="433">
      <c r="D433" s="43"/>
      <c r="F433" s="43"/>
      <c r="G433" s="43"/>
      <c r="I433" s="43"/>
    </row>
    <row r="434">
      <c r="D434" s="43"/>
      <c r="F434" s="43"/>
      <c r="G434" s="43"/>
      <c r="I434" s="43"/>
    </row>
    <row r="435">
      <c r="D435" s="43"/>
      <c r="F435" s="43"/>
      <c r="G435" s="43"/>
      <c r="I435" s="43"/>
    </row>
    <row r="436">
      <c r="D436" s="43"/>
      <c r="F436" s="43"/>
      <c r="G436" s="43"/>
      <c r="I436" s="43"/>
    </row>
    <row r="437">
      <c r="D437" s="43"/>
      <c r="F437" s="43"/>
      <c r="G437" s="43"/>
      <c r="I437" s="43"/>
    </row>
    <row r="438">
      <c r="D438" s="43"/>
      <c r="F438" s="43"/>
      <c r="G438" s="43"/>
      <c r="I438" s="43"/>
    </row>
    <row r="439">
      <c r="D439" s="43"/>
      <c r="F439" s="43"/>
      <c r="G439" s="43"/>
      <c r="I439" s="43"/>
    </row>
    <row r="440">
      <c r="D440" s="43"/>
      <c r="F440" s="43"/>
      <c r="G440" s="43"/>
      <c r="I440" s="43"/>
    </row>
    <row r="441">
      <c r="D441" s="43"/>
      <c r="F441" s="43"/>
      <c r="G441" s="43"/>
      <c r="I441" s="43"/>
    </row>
    <row r="442">
      <c r="D442" s="43"/>
      <c r="F442" s="43"/>
      <c r="G442" s="43"/>
      <c r="I442" s="43"/>
    </row>
    <row r="443">
      <c r="D443" s="43"/>
      <c r="F443" s="43"/>
      <c r="G443" s="43"/>
      <c r="I443" s="43"/>
    </row>
    <row r="444">
      <c r="D444" s="43"/>
      <c r="F444" s="43"/>
      <c r="G444" s="43"/>
      <c r="I444" s="43"/>
    </row>
    <row r="445">
      <c r="D445" s="43"/>
      <c r="F445" s="43"/>
      <c r="G445" s="43"/>
      <c r="I445" s="43"/>
    </row>
    <row r="446">
      <c r="D446" s="43"/>
      <c r="F446" s="43"/>
      <c r="G446" s="43"/>
      <c r="I446" s="43"/>
    </row>
    <row r="447">
      <c r="D447" s="43"/>
      <c r="F447" s="43"/>
      <c r="G447" s="43"/>
      <c r="I447" s="43"/>
    </row>
    <row r="448">
      <c r="D448" s="43"/>
      <c r="F448" s="43"/>
      <c r="G448" s="43"/>
      <c r="I448" s="43"/>
    </row>
    <row r="449">
      <c r="D449" s="43"/>
      <c r="F449" s="43"/>
      <c r="G449" s="43"/>
      <c r="I449" s="43"/>
    </row>
    <row r="450">
      <c r="D450" s="43"/>
      <c r="F450" s="43"/>
      <c r="G450" s="43"/>
      <c r="I450" s="43"/>
    </row>
    <row r="451">
      <c r="D451" s="43"/>
      <c r="F451" s="43"/>
      <c r="G451" s="43"/>
      <c r="I451" s="43"/>
    </row>
    <row r="452">
      <c r="D452" s="43"/>
      <c r="F452" s="43"/>
      <c r="G452" s="43"/>
      <c r="I452" s="43"/>
    </row>
    <row r="453">
      <c r="D453" s="43"/>
      <c r="F453" s="43"/>
      <c r="G453" s="43"/>
      <c r="I453" s="43"/>
    </row>
    <row r="454">
      <c r="D454" s="43"/>
      <c r="F454" s="43"/>
      <c r="G454" s="43"/>
      <c r="I454" s="43"/>
    </row>
    <row r="455">
      <c r="D455" s="43"/>
      <c r="F455" s="43"/>
      <c r="G455" s="43"/>
      <c r="I455" s="43"/>
    </row>
    <row r="456">
      <c r="D456" s="43"/>
      <c r="F456" s="43"/>
      <c r="G456" s="43"/>
      <c r="I456" s="43"/>
    </row>
    <row r="457">
      <c r="D457" s="43"/>
      <c r="F457" s="43"/>
      <c r="G457" s="43"/>
      <c r="I457" s="43"/>
    </row>
    <row r="458">
      <c r="D458" s="43"/>
      <c r="F458" s="43"/>
      <c r="G458" s="43"/>
      <c r="I458" s="43"/>
    </row>
    <row r="459">
      <c r="D459" s="43"/>
      <c r="F459" s="43"/>
      <c r="G459" s="43"/>
      <c r="I459" s="43"/>
    </row>
    <row r="460">
      <c r="D460" s="43"/>
      <c r="F460" s="43"/>
      <c r="G460" s="43"/>
      <c r="I460" s="43"/>
    </row>
    <row r="461">
      <c r="D461" s="43"/>
      <c r="F461" s="43"/>
      <c r="G461" s="43"/>
      <c r="I461" s="43"/>
    </row>
    <row r="462">
      <c r="D462" s="43"/>
      <c r="F462" s="43"/>
      <c r="G462" s="43"/>
      <c r="I462" s="43"/>
    </row>
    <row r="463">
      <c r="D463" s="43"/>
      <c r="F463" s="43"/>
      <c r="G463" s="43"/>
      <c r="I463" s="43"/>
    </row>
    <row r="464">
      <c r="D464" s="43"/>
      <c r="F464" s="43"/>
      <c r="G464" s="43"/>
      <c r="I464" s="43"/>
    </row>
    <row r="465">
      <c r="D465" s="43"/>
      <c r="F465" s="43"/>
      <c r="G465" s="43"/>
      <c r="I465" s="43"/>
    </row>
    <row r="466">
      <c r="D466" s="43"/>
      <c r="F466" s="43"/>
      <c r="G466" s="43"/>
      <c r="I466" s="43"/>
    </row>
    <row r="467">
      <c r="D467" s="43"/>
      <c r="F467" s="43"/>
      <c r="G467" s="43"/>
      <c r="I467" s="43"/>
    </row>
    <row r="468">
      <c r="D468" s="43"/>
      <c r="F468" s="43"/>
      <c r="G468" s="43"/>
      <c r="I468" s="43"/>
    </row>
    <row r="469">
      <c r="D469" s="43"/>
      <c r="F469" s="43"/>
      <c r="G469" s="43"/>
      <c r="I469" s="43"/>
    </row>
    <row r="470">
      <c r="D470" s="43"/>
      <c r="F470" s="43"/>
      <c r="G470" s="43"/>
      <c r="I470" s="43"/>
    </row>
    <row r="471">
      <c r="D471" s="43"/>
      <c r="F471" s="43"/>
      <c r="G471" s="43"/>
      <c r="I471" s="43"/>
    </row>
    <row r="472">
      <c r="D472" s="43"/>
      <c r="F472" s="43"/>
      <c r="G472" s="43"/>
      <c r="I472" s="43"/>
    </row>
    <row r="473">
      <c r="D473" s="43"/>
      <c r="F473" s="43"/>
      <c r="G473" s="43"/>
      <c r="I473" s="43"/>
    </row>
    <row r="474">
      <c r="D474" s="43"/>
      <c r="F474" s="43"/>
      <c r="G474" s="43"/>
      <c r="I474" s="43"/>
    </row>
    <row r="475">
      <c r="D475" s="43"/>
      <c r="F475" s="43"/>
      <c r="G475" s="43"/>
      <c r="I475" s="43"/>
    </row>
    <row r="476">
      <c r="D476" s="43"/>
      <c r="F476" s="43"/>
      <c r="G476" s="43"/>
      <c r="I476" s="43"/>
    </row>
    <row r="477">
      <c r="D477" s="43"/>
      <c r="F477" s="43"/>
      <c r="G477" s="43"/>
      <c r="I477" s="43"/>
    </row>
    <row r="478">
      <c r="D478" s="43"/>
      <c r="F478" s="43"/>
      <c r="G478" s="43"/>
      <c r="I478" s="43"/>
    </row>
    <row r="479">
      <c r="D479" s="43"/>
      <c r="F479" s="43"/>
      <c r="G479" s="43"/>
      <c r="I479" s="43"/>
    </row>
    <row r="480">
      <c r="D480" s="43"/>
      <c r="F480" s="43"/>
      <c r="G480" s="43"/>
      <c r="I480" s="43"/>
    </row>
    <row r="481">
      <c r="D481" s="43"/>
      <c r="F481" s="43"/>
      <c r="G481" s="43"/>
      <c r="I481" s="43"/>
    </row>
    <row r="482">
      <c r="D482" s="43"/>
      <c r="F482" s="43"/>
      <c r="G482" s="43"/>
      <c r="I482" s="43"/>
    </row>
    <row r="483">
      <c r="D483" s="43"/>
      <c r="F483" s="43"/>
      <c r="G483" s="43"/>
      <c r="I483" s="43"/>
    </row>
    <row r="484">
      <c r="D484" s="43"/>
      <c r="F484" s="43"/>
      <c r="G484" s="43"/>
      <c r="I484" s="43"/>
    </row>
    <row r="485">
      <c r="D485" s="43"/>
      <c r="F485" s="43"/>
      <c r="G485" s="43"/>
      <c r="I485" s="43"/>
    </row>
    <row r="486">
      <c r="D486" s="43"/>
      <c r="F486" s="43"/>
      <c r="G486" s="43"/>
      <c r="I486" s="43"/>
    </row>
    <row r="487">
      <c r="D487" s="43"/>
      <c r="F487" s="43"/>
      <c r="G487" s="43"/>
      <c r="I487" s="43"/>
    </row>
    <row r="488">
      <c r="D488" s="43"/>
      <c r="F488" s="43"/>
      <c r="G488" s="43"/>
      <c r="I488" s="43"/>
    </row>
    <row r="489">
      <c r="D489" s="43"/>
      <c r="F489" s="43"/>
      <c r="G489" s="43"/>
      <c r="I489" s="43"/>
    </row>
    <row r="490">
      <c r="D490" s="43"/>
      <c r="F490" s="43"/>
      <c r="G490" s="43"/>
      <c r="I490" s="43"/>
    </row>
    <row r="491">
      <c r="D491" s="43"/>
      <c r="F491" s="43"/>
      <c r="G491" s="43"/>
      <c r="I491" s="43"/>
    </row>
    <row r="492">
      <c r="D492" s="43"/>
      <c r="F492" s="43"/>
      <c r="G492" s="43"/>
      <c r="I492" s="43"/>
    </row>
    <row r="493">
      <c r="D493" s="43"/>
      <c r="F493" s="43"/>
      <c r="G493" s="43"/>
      <c r="I493" s="43"/>
    </row>
    <row r="494">
      <c r="D494" s="43"/>
      <c r="F494" s="43"/>
      <c r="G494" s="43"/>
      <c r="I494" s="43"/>
    </row>
    <row r="495">
      <c r="D495" s="43"/>
      <c r="F495" s="43"/>
      <c r="G495" s="43"/>
      <c r="I495" s="43"/>
    </row>
    <row r="496">
      <c r="D496" s="43"/>
      <c r="F496" s="43"/>
      <c r="G496" s="43"/>
      <c r="I496" s="43"/>
    </row>
    <row r="497">
      <c r="D497" s="43"/>
      <c r="F497" s="43"/>
      <c r="G497" s="43"/>
      <c r="I497" s="43"/>
    </row>
    <row r="498">
      <c r="D498" s="43"/>
      <c r="F498" s="43"/>
      <c r="G498" s="43"/>
      <c r="I498" s="43"/>
    </row>
    <row r="499">
      <c r="D499" s="43"/>
      <c r="F499" s="43"/>
      <c r="G499" s="43"/>
      <c r="I499" s="43"/>
    </row>
    <row r="500">
      <c r="D500" s="43"/>
      <c r="F500" s="43"/>
      <c r="G500" s="43"/>
      <c r="I500" s="43"/>
    </row>
    <row r="501">
      <c r="D501" s="43"/>
      <c r="F501" s="43"/>
      <c r="G501" s="43"/>
      <c r="I501" s="43"/>
    </row>
    <row r="502">
      <c r="D502" s="43"/>
      <c r="F502" s="43"/>
      <c r="G502" s="43"/>
      <c r="I502" s="43"/>
    </row>
    <row r="503">
      <c r="D503" s="43"/>
      <c r="F503" s="43"/>
      <c r="G503" s="43"/>
      <c r="I503" s="43"/>
    </row>
    <row r="504">
      <c r="D504" s="43"/>
      <c r="F504" s="43"/>
      <c r="G504" s="43"/>
      <c r="I504" s="43"/>
    </row>
    <row r="505">
      <c r="D505" s="43"/>
      <c r="F505" s="43"/>
      <c r="G505" s="43"/>
      <c r="I505" s="43"/>
    </row>
    <row r="506">
      <c r="D506" s="43"/>
      <c r="F506" s="43"/>
      <c r="G506" s="43"/>
      <c r="I506" s="43"/>
    </row>
    <row r="507">
      <c r="D507" s="43"/>
      <c r="F507" s="43"/>
      <c r="G507" s="43"/>
      <c r="I507" s="43"/>
    </row>
    <row r="508">
      <c r="D508" s="43"/>
      <c r="F508" s="43"/>
      <c r="G508" s="43"/>
      <c r="I508" s="43"/>
    </row>
    <row r="509">
      <c r="D509" s="43"/>
      <c r="F509" s="43"/>
      <c r="G509" s="43"/>
      <c r="I509" s="43"/>
    </row>
    <row r="510">
      <c r="D510" s="43"/>
      <c r="F510" s="43"/>
      <c r="G510" s="43"/>
      <c r="I510" s="43"/>
    </row>
    <row r="511">
      <c r="D511" s="43"/>
      <c r="F511" s="43"/>
      <c r="G511" s="43"/>
      <c r="I511" s="43"/>
    </row>
    <row r="512">
      <c r="D512" s="43"/>
      <c r="F512" s="43"/>
      <c r="G512" s="43"/>
      <c r="I512" s="43"/>
    </row>
    <row r="513">
      <c r="D513" s="43"/>
      <c r="F513" s="43"/>
      <c r="G513" s="43"/>
      <c r="I513" s="43"/>
    </row>
    <row r="514">
      <c r="D514" s="43"/>
      <c r="F514" s="43"/>
      <c r="G514" s="43"/>
      <c r="I514" s="43"/>
    </row>
    <row r="515">
      <c r="D515" s="43"/>
      <c r="F515" s="43"/>
      <c r="G515" s="43"/>
      <c r="I515" s="43"/>
    </row>
    <row r="516">
      <c r="D516" s="43"/>
      <c r="F516" s="43"/>
      <c r="G516" s="43"/>
      <c r="I516" s="43"/>
    </row>
    <row r="517">
      <c r="D517" s="43"/>
      <c r="F517" s="43"/>
      <c r="G517" s="43"/>
      <c r="I517" s="43"/>
    </row>
    <row r="518">
      <c r="D518" s="43"/>
      <c r="F518" s="43"/>
      <c r="G518" s="43"/>
      <c r="I518" s="43"/>
    </row>
    <row r="519">
      <c r="D519" s="43"/>
      <c r="F519" s="43"/>
      <c r="G519" s="43"/>
      <c r="I519" s="43"/>
    </row>
    <row r="520">
      <c r="D520" s="43"/>
      <c r="F520" s="43"/>
      <c r="G520" s="43"/>
      <c r="I520" s="43"/>
    </row>
    <row r="521">
      <c r="D521" s="43"/>
      <c r="F521" s="43"/>
      <c r="G521" s="43"/>
      <c r="I521" s="43"/>
    </row>
    <row r="522">
      <c r="D522" s="43"/>
      <c r="F522" s="43"/>
      <c r="G522" s="43"/>
      <c r="I522" s="43"/>
    </row>
    <row r="523">
      <c r="D523" s="43"/>
      <c r="F523" s="43"/>
      <c r="G523" s="43"/>
      <c r="I523" s="43"/>
    </row>
    <row r="524">
      <c r="D524" s="43"/>
      <c r="F524" s="43"/>
      <c r="G524" s="43"/>
      <c r="I524" s="43"/>
    </row>
    <row r="525">
      <c r="D525" s="43"/>
      <c r="F525" s="43"/>
      <c r="G525" s="43"/>
      <c r="I525" s="43"/>
    </row>
    <row r="526">
      <c r="D526" s="43"/>
      <c r="F526" s="43"/>
      <c r="G526" s="43"/>
      <c r="I526" s="43"/>
    </row>
    <row r="527">
      <c r="D527" s="43"/>
      <c r="F527" s="43"/>
      <c r="G527" s="43"/>
      <c r="I527" s="43"/>
    </row>
    <row r="528">
      <c r="D528" s="43"/>
      <c r="F528" s="43"/>
      <c r="G528" s="43"/>
      <c r="I528" s="43"/>
    </row>
    <row r="529">
      <c r="D529" s="43"/>
      <c r="F529" s="43"/>
      <c r="G529" s="43"/>
      <c r="I529" s="43"/>
    </row>
    <row r="530">
      <c r="D530" s="43"/>
      <c r="F530" s="43"/>
      <c r="G530" s="43"/>
      <c r="I530" s="43"/>
    </row>
    <row r="531">
      <c r="D531" s="43"/>
      <c r="F531" s="43"/>
      <c r="G531" s="43"/>
      <c r="I531" s="43"/>
    </row>
    <row r="532">
      <c r="D532" s="43"/>
      <c r="F532" s="43"/>
      <c r="G532" s="43"/>
      <c r="I532" s="43"/>
    </row>
    <row r="533">
      <c r="D533" s="43"/>
      <c r="F533" s="43"/>
      <c r="G533" s="43"/>
      <c r="I533" s="43"/>
    </row>
    <row r="534">
      <c r="D534" s="43"/>
      <c r="F534" s="43"/>
      <c r="G534" s="43"/>
      <c r="I534" s="43"/>
    </row>
    <row r="535">
      <c r="D535" s="43"/>
      <c r="F535" s="43"/>
      <c r="G535" s="43"/>
      <c r="I535" s="43"/>
    </row>
    <row r="536">
      <c r="D536" s="43"/>
      <c r="F536" s="43"/>
      <c r="G536" s="43"/>
      <c r="I536" s="43"/>
    </row>
    <row r="537">
      <c r="D537" s="43"/>
      <c r="F537" s="43"/>
      <c r="G537" s="43"/>
      <c r="I537" s="43"/>
    </row>
    <row r="538">
      <c r="D538" s="43"/>
      <c r="F538" s="43"/>
      <c r="G538" s="43"/>
      <c r="I538" s="43"/>
    </row>
    <row r="539">
      <c r="D539" s="43"/>
      <c r="F539" s="43"/>
      <c r="G539" s="43"/>
      <c r="I539" s="43"/>
    </row>
    <row r="540">
      <c r="D540" s="43"/>
      <c r="F540" s="43"/>
      <c r="G540" s="43"/>
      <c r="I540" s="43"/>
    </row>
    <row r="541">
      <c r="D541" s="43"/>
      <c r="F541" s="43"/>
      <c r="G541" s="43"/>
      <c r="I541" s="43"/>
    </row>
    <row r="542">
      <c r="D542" s="43"/>
      <c r="F542" s="43"/>
      <c r="G542" s="43"/>
      <c r="I542" s="43"/>
    </row>
    <row r="543">
      <c r="D543" s="43"/>
      <c r="F543" s="43"/>
      <c r="G543" s="43"/>
      <c r="I543" s="43"/>
    </row>
    <row r="544">
      <c r="D544" s="43"/>
      <c r="F544" s="43"/>
      <c r="G544" s="43"/>
      <c r="I544" s="43"/>
    </row>
    <row r="545">
      <c r="D545" s="43"/>
      <c r="F545" s="43"/>
      <c r="G545" s="43"/>
      <c r="I545" s="43"/>
    </row>
    <row r="546">
      <c r="D546" s="43"/>
      <c r="F546" s="43"/>
      <c r="G546" s="43"/>
      <c r="I546" s="43"/>
    </row>
    <row r="547">
      <c r="D547" s="43"/>
      <c r="F547" s="43"/>
      <c r="G547" s="43"/>
      <c r="I547" s="43"/>
    </row>
    <row r="548">
      <c r="D548" s="43"/>
      <c r="F548" s="43"/>
      <c r="G548" s="43"/>
      <c r="I548" s="43"/>
    </row>
    <row r="549">
      <c r="D549" s="43"/>
      <c r="F549" s="43"/>
      <c r="G549" s="43"/>
      <c r="I549" s="43"/>
    </row>
    <row r="550">
      <c r="D550" s="43"/>
      <c r="F550" s="43"/>
      <c r="G550" s="43"/>
      <c r="I550" s="43"/>
    </row>
    <row r="551">
      <c r="D551" s="43"/>
      <c r="F551" s="43"/>
      <c r="G551" s="43"/>
      <c r="I551" s="43"/>
    </row>
    <row r="552">
      <c r="D552" s="43"/>
      <c r="F552" s="43"/>
      <c r="G552" s="43"/>
      <c r="I552" s="43"/>
    </row>
    <row r="553">
      <c r="D553" s="43"/>
      <c r="F553" s="43"/>
      <c r="G553" s="43"/>
      <c r="I553" s="43"/>
    </row>
    <row r="554">
      <c r="D554" s="43"/>
      <c r="F554" s="43"/>
      <c r="G554" s="43"/>
      <c r="I554" s="43"/>
    </row>
    <row r="555">
      <c r="D555" s="43"/>
      <c r="F555" s="43"/>
      <c r="G555" s="43"/>
      <c r="I555" s="43"/>
    </row>
    <row r="556">
      <c r="D556" s="43"/>
      <c r="F556" s="43"/>
      <c r="G556" s="43"/>
      <c r="I556" s="43"/>
    </row>
    <row r="557">
      <c r="D557" s="43"/>
      <c r="F557" s="43"/>
      <c r="G557" s="43"/>
      <c r="I557" s="43"/>
    </row>
    <row r="558">
      <c r="D558" s="43"/>
      <c r="F558" s="43"/>
      <c r="G558" s="43"/>
      <c r="I558" s="43"/>
    </row>
    <row r="559">
      <c r="D559" s="43"/>
      <c r="F559" s="43"/>
      <c r="G559" s="43"/>
      <c r="I559" s="43"/>
    </row>
    <row r="560">
      <c r="D560" s="43"/>
      <c r="F560" s="43"/>
      <c r="G560" s="43"/>
      <c r="I560" s="43"/>
    </row>
    <row r="561">
      <c r="D561" s="43"/>
      <c r="F561" s="43"/>
      <c r="G561" s="43"/>
      <c r="I561" s="43"/>
    </row>
    <row r="562">
      <c r="D562" s="43"/>
      <c r="F562" s="43"/>
      <c r="G562" s="43"/>
      <c r="I562" s="43"/>
    </row>
    <row r="563">
      <c r="D563" s="43"/>
      <c r="F563" s="43"/>
      <c r="G563" s="43"/>
      <c r="I563" s="43"/>
    </row>
    <row r="564">
      <c r="D564" s="43"/>
      <c r="F564" s="43"/>
      <c r="G564" s="43"/>
      <c r="I564" s="43"/>
    </row>
    <row r="565">
      <c r="D565" s="43"/>
      <c r="F565" s="43"/>
      <c r="G565" s="43"/>
      <c r="I565" s="43"/>
    </row>
    <row r="566">
      <c r="D566" s="43"/>
      <c r="F566" s="43"/>
      <c r="G566" s="43"/>
      <c r="I566" s="43"/>
    </row>
    <row r="567">
      <c r="D567" s="43"/>
      <c r="F567" s="43"/>
      <c r="G567" s="43"/>
      <c r="I567" s="43"/>
    </row>
    <row r="568">
      <c r="D568" s="43"/>
      <c r="F568" s="43"/>
      <c r="G568" s="43"/>
      <c r="I568" s="43"/>
    </row>
    <row r="569">
      <c r="D569" s="43"/>
      <c r="F569" s="43"/>
      <c r="G569" s="43"/>
      <c r="I569" s="43"/>
    </row>
    <row r="570">
      <c r="D570" s="43"/>
      <c r="F570" s="43"/>
      <c r="G570" s="43"/>
      <c r="I570" s="43"/>
    </row>
    <row r="571">
      <c r="D571" s="43"/>
      <c r="F571" s="43"/>
      <c r="G571" s="43"/>
      <c r="I571" s="43"/>
    </row>
    <row r="572">
      <c r="D572" s="43"/>
      <c r="F572" s="43"/>
      <c r="G572" s="43"/>
      <c r="I572" s="43"/>
    </row>
    <row r="573">
      <c r="D573" s="43"/>
      <c r="F573" s="43"/>
      <c r="G573" s="43"/>
      <c r="I573" s="43"/>
    </row>
    <row r="574">
      <c r="D574" s="43"/>
      <c r="F574" s="43"/>
      <c r="G574" s="43"/>
      <c r="I574" s="43"/>
    </row>
    <row r="575">
      <c r="D575" s="43"/>
      <c r="F575" s="43"/>
      <c r="G575" s="43"/>
      <c r="I575" s="43"/>
    </row>
    <row r="576">
      <c r="D576" s="43"/>
      <c r="F576" s="43"/>
      <c r="G576" s="43"/>
      <c r="I576" s="43"/>
    </row>
    <row r="577">
      <c r="D577" s="43"/>
      <c r="F577" s="43"/>
      <c r="G577" s="43"/>
      <c r="I577" s="43"/>
    </row>
    <row r="578">
      <c r="D578" s="43"/>
      <c r="F578" s="43"/>
      <c r="G578" s="43"/>
      <c r="I578" s="43"/>
    </row>
    <row r="579">
      <c r="D579" s="43"/>
      <c r="F579" s="43"/>
      <c r="G579" s="43"/>
      <c r="I579" s="43"/>
    </row>
    <row r="580">
      <c r="D580" s="43"/>
      <c r="F580" s="43"/>
      <c r="G580" s="43"/>
      <c r="I580" s="43"/>
    </row>
    <row r="581">
      <c r="D581" s="43"/>
      <c r="F581" s="43"/>
      <c r="G581" s="43"/>
      <c r="I581" s="43"/>
    </row>
    <row r="582">
      <c r="D582" s="43"/>
      <c r="F582" s="43"/>
      <c r="G582" s="43"/>
      <c r="I582" s="43"/>
    </row>
    <row r="583">
      <c r="D583" s="43"/>
      <c r="F583" s="43"/>
      <c r="G583" s="43"/>
      <c r="I583" s="43"/>
    </row>
    <row r="584">
      <c r="D584" s="43"/>
      <c r="F584" s="43"/>
      <c r="G584" s="43"/>
      <c r="I584" s="43"/>
    </row>
    <row r="585">
      <c r="D585" s="43"/>
      <c r="F585" s="43"/>
      <c r="G585" s="43"/>
      <c r="I585" s="43"/>
    </row>
    <row r="586">
      <c r="D586" s="43"/>
      <c r="F586" s="43"/>
      <c r="G586" s="43"/>
      <c r="I586" s="43"/>
    </row>
    <row r="587">
      <c r="D587" s="43"/>
      <c r="F587" s="43"/>
      <c r="G587" s="43"/>
      <c r="I587" s="43"/>
    </row>
    <row r="588">
      <c r="D588" s="43"/>
      <c r="F588" s="43"/>
      <c r="G588" s="43"/>
      <c r="I588" s="43"/>
    </row>
    <row r="589">
      <c r="D589" s="43"/>
      <c r="F589" s="43"/>
      <c r="G589" s="43"/>
      <c r="I589" s="43"/>
    </row>
    <row r="590">
      <c r="D590" s="43"/>
      <c r="F590" s="43"/>
      <c r="G590" s="43"/>
      <c r="I590" s="43"/>
    </row>
    <row r="591">
      <c r="D591" s="43"/>
      <c r="F591" s="43"/>
      <c r="G591" s="43"/>
      <c r="I591" s="43"/>
    </row>
    <row r="592">
      <c r="D592" s="43"/>
      <c r="F592" s="43"/>
      <c r="G592" s="43"/>
      <c r="I592" s="43"/>
    </row>
    <row r="593">
      <c r="D593" s="43"/>
      <c r="F593" s="43"/>
      <c r="G593" s="43"/>
      <c r="I593" s="43"/>
    </row>
    <row r="594">
      <c r="D594" s="43"/>
      <c r="F594" s="43"/>
      <c r="G594" s="43"/>
      <c r="I594" s="43"/>
    </row>
    <row r="595">
      <c r="D595" s="43"/>
      <c r="F595" s="43"/>
      <c r="G595" s="43"/>
      <c r="I595" s="43"/>
    </row>
    <row r="596">
      <c r="D596" s="43"/>
      <c r="F596" s="43"/>
      <c r="G596" s="43"/>
      <c r="I596" s="43"/>
    </row>
    <row r="597">
      <c r="D597" s="43"/>
      <c r="F597" s="43"/>
      <c r="G597" s="43"/>
      <c r="I597" s="43"/>
    </row>
    <row r="598">
      <c r="D598" s="43"/>
      <c r="F598" s="43"/>
      <c r="G598" s="43"/>
      <c r="I598" s="43"/>
    </row>
    <row r="599">
      <c r="D599" s="43"/>
      <c r="F599" s="43"/>
      <c r="G599" s="43"/>
      <c r="I599" s="43"/>
    </row>
    <row r="600">
      <c r="D600" s="43"/>
      <c r="F600" s="43"/>
      <c r="G600" s="43"/>
      <c r="I600" s="43"/>
    </row>
    <row r="601">
      <c r="D601" s="43"/>
      <c r="F601" s="43"/>
      <c r="G601" s="43"/>
      <c r="I601" s="43"/>
    </row>
    <row r="602">
      <c r="D602" s="43"/>
      <c r="F602" s="43"/>
      <c r="G602" s="43"/>
      <c r="I602" s="43"/>
    </row>
    <row r="603">
      <c r="D603" s="43"/>
      <c r="F603" s="43"/>
      <c r="G603" s="43"/>
      <c r="I603" s="43"/>
    </row>
    <row r="604">
      <c r="D604" s="43"/>
      <c r="F604" s="43"/>
      <c r="G604" s="43"/>
      <c r="I604" s="43"/>
    </row>
    <row r="605">
      <c r="D605" s="43"/>
      <c r="F605" s="43"/>
      <c r="G605" s="43"/>
      <c r="I605" s="43"/>
    </row>
    <row r="606">
      <c r="D606" s="43"/>
      <c r="F606" s="43"/>
      <c r="G606" s="43"/>
      <c r="I606" s="43"/>
    </row>
    <row r="607">
      <c r="D607" s="43"/>
      <c r="F607" s="43"/>
      <c r="G607" s="43"/>
      <c r="I607" s="43"/>
    </row>
    <row r="608">
      <c r="D608" s="43"/>
      <c r="F608" s="43"/>
      <c r="G608" s="43"/>
      <c r="I608" s="43"/>
    </row>
    <row r="609">
      <c r="D609" s="43"/>
      <c r="F609" s="43"/>
      <c r="G609" s="43"/>
      <c r="I609" s="43"/>
    </row>
    <row r="610">
      <c r="D610" s="43"/>
      <c r="F610" s="43"/>
      <c r="G610" s="43"/>
      <c r="I610" s="43"/>
    </row>
    <row r="611">
      <c r="D611" s="43"/>
      <c r="F611" s="43"/>
      <c r="G611" s="43"/>
      <c r="I611" s="43"/>
    </row>
    <row r="612">
      <c r="D612" s="43"/>
      <c r="F612" s="43"/>
      <c r="G612" s="43"/>
      <c r="I612" s="43"/>
    </row>
    <row r="613">
      <c r="D613" s="43"/>
      <c r="F613" s="43"/>
      <c r="G613" s="43"/>
      <c r="I613" s="43"/>
    </row>
    <row r="614">
      <c r="D614" s="43"/>
      <c r="F614" s="43"/>
      <c r="G614" s="43"/>
      <c r="I614" s="43"/>
    </row>
    <row r="615">
      <c r="D615" s="43"/>
      <c r="F615" s="43"/>
      <c r="G615" s="43"/>
      <c r="I615" s="43"/>
    </row>
    <row r="616">
      <c r="D616" s="43"/>
      <c r="F616" s="43"/>
      <c r="G616" s="43"/>
      <c r="I616" s="43"/>
    </row>
    <row r="617">
      <c r="D617" s="43"/>
      <c r="F617" s="43"/>
      <c r="G617" s="43"/>
      <c r="I617" s="43"/>
    </row>
    <row r="618">
      <c r="D618" s="43"/>
      <c r="F618" s="43"/>
      <c r="G618" s="43"/>
      <c r="I618" s="43"/>
    </row>
    <row r="619">
      <c r="D619" s="43"/>
      <c r="F619" s="43"/>
      <c r="G619" s="43"/>
      <c r="I619" s="43"/>
    </row>
    <row r="620">
      <c r="D620" s="43"/>
      <c r="F620" s="43"/>
      <c r="G620" s="43"/>
      <c r="I620" s="43"/>
    </row>
    <row r="621">
      <c r="D621" s="43"/>
      <c r="F621" s="43"/>
      <c r="G621" s="43"/>
      <c r="I621" s="43"/>
    </row>
    <row r="622">
      <c r="D622" s="43"/>
      <c r="F622" s="43"/>
      <c r="G622" s="43"/>
      <c r="I622" s="43"/>
    </row>
    <row r="623">
      <c r="D623" s="43"/>
      <c r="F623" s="43"/>
      <c r="G623" s="43"/>
      <c r="I623" s="43"/>
    </row>
    <row r="624">
      <c r="D624" s="43"/>
      <c r="F624" s="43"/>
      <c r="G624" s="43"/>
      <c r="I624" s="43"/>
    </row>
    <row r="625">
      <c r="D625" s="43"/>
      <c r="F625" s="43"/>
      <c r="G625" s="43"/>
      <c r="I625" s="43"/>
    </row>
    <row r="626">
      <c r="D626" s="43"/>
      <c r="F626" s="43"/>
      <c r="G626" s="43"/>
      <c r="I626" s="43"/>
    </row>
    <row r="627">
      <c r="D627" s="43"/>
      <c r="F627" s="43"/>
      <c r="G627" s="43"/>
      <c r="I627" s="43"/>
    </row>
    <row r="628">
      <c r="D628" s="43"/>
      <c r="F628" s="43"/>
      <c r="G628" s="43"/>
      <c r="I628" s="43"/>
    </row>
    <row r="629">
      <c r="D629" s="43"/>
      <c r="F629" s="43"/>
      <c r="G629" s="43"/>
      <c r="I629" s="43"/>
    </row>
    <row r="630">
      <c r="D630" s="43"/>
      <c r="F630" s="43"/>
      <c r="G630" s="43"/>
      <c r="I630" s="43"/>
    </row>
    <row r="631">
      <c r="D631" s="43"/>
      <c r="F631" s="43"/>
      <c r="G631" s="43"/>
      <c r="I631" s="43"/>
    </row>
    <row r="632">
      <c r="D632" s="43"/>
      <c r="F632" s="43"/>
      <c r="G632" s="43"/>
      <c r="I632" s="43"/>
    </row>
    <row r="633">
      <c r="D633" s="43"/>
      <c r="F633" s="43"/>
      <c r="G633" s="43"/>
      <c r="I633" s="43"/>
    </row>
    <row r="634">
      <c r="D634" s="43"/>
      <c r="F634" s="43"/>
      <c r="G634" s="43"/>
      <c r="I634" s="43"/>
    </row>
    <row r="635">
      <c r="D635" s="43"/>
      <c r="F635" s="43"/>
      <c r="G635" s="43"/>
      <c r="I635" s="43"/>
    </row>
    <row r="636">
      <c r="D636" s="43"/>
      <c r="F636" s="43"/>
      <c r="G636" s="43"/>
      <c r="I636" s="43"/>
    </row>
    <row r="637">
      <c r="D637" s="43"/>
      <c r="F637" s="43"/>
      <c r="G637" s="43"/>
      <c r="I637" s="43"/>
    </row>
    <row r="638">
      <c r="D638" s="43"/>
      <c r="F638" s="43"/>
      <c r="G638" s="43"/>
      <c r="I638" s="43"/>
    </row>
    <row r="639">
      <c r="D639" s="43"/>
      <c r="F639" s="43"/>
      <c r="G639" s="43"/>
      <c r="I639" s="43"/>
    </row>
    <row r="640">
      <c r="D640" s="43"/>
      <c r="F640" s="43"/>
      <c r="G640" s="43"/>
      <c r="I640" s="43"/>
    </row>
    <row r="641">
      <c r="D641" s="43"/>
      <c r="F641" s="43"/>
      <c r="G641" s="43"/>
      <c r="I641" s="43"/>
    </row>
    <row r="642">
      <c r="D642" s="43"/>
      <c r="F642" s="43"/>
      <c r="G642" s="43"/>
      <c r="I642" s="43"/>
    </row>
    <row r="643">
      <c r="D643" s="43"/>
      <c r="F643" s="43"/>
      <c r="G643" s="43"/>
      <c r="I643" s="43"/>
    </row>
    <row r="644">
      <c r="D644" s="43"/>
      <c r="F644" s="43"/>
      <c r="G644" s="43"/>
      <c r="I644" s="43"/>
    </row>
    <row r="645">
      <c r="D645" s="43"/>
      <c r="F645" s="43"/>
      <c r="G645" s="43"/>
      <c r="I645" s="43"/>
    </row>
    <row r="646">
      <c r="D646" s="43"/>
      <c r="F646" s="43"/>
      <c r="G646" s="43"/>
      <c r="I646" s="43"/>
    </row>
    <row r="647">
      <c r="D647" s="43"/>
      <c r="F647" s="43"/>
      <c r="G647" s="43"/>
      <c r="I647" s="43"/>
    </row>
    <row r="648">
      <c r="D648" s="43"/>
      <c r="F648" s="43"/>
      <c r="G648" s="43"/>
      <c r="I648" s="43"/>
    </row>
    <row r="649">
      <c r="D649" s="43"/>
      <c r="F649" s="43"/>
      <c r="G649" s="43"/>
      <c r="I649" s="43"/>
    </row>
    <row r="650">
      <c r="D650" s="43"/>
      <c r="F650" s="43"/>
      <c r="G650" s="43"/>
      <c r="I650" s="43"/>
    </row>
    <row r="651">
      <c r="D651" s="43"/>
      <c r="F651" s="43"/>
      <c r="G651" s="43"/>
      <c r="I651" s="43"/>
    </row>
    <row r="652">
      <c r="D652" s="43"/>
      <c r="F652" s="43"/>
      <c r="G652" s="43"/>
      <c r="I652" s="43"/>
    </row>
    <row r="653">
      <c r="D653" s="43"/>
      <c r="F653" s="43"/>
      <c r="G653" s="43"/>
      <c r="I653" s="43"/>
    </row>
    <row r="654">
      <c r="D654" s="43"/>
      <c r="F654" s="43"/>
      <c r="G654" s="43"/>
      <c r="I654" s="43"/>
    </row>
    <row r="655">
      <c r="D655" s="43"/>
      <c r="F655" s="43"/>
      <c r="G655" s="43"/>
      <c r="I655" s="43"/>
    </row>
    <row r="656">
      <c r="D656" s="43"/>
      <c r="F656" s="43"/>
      <c r="G656" s="43"/>
      <c r="I656" s="43"/>
    </row>
    <row r="657">
      <c r="D657" s="43"/>
      <c r="F657" s="43"/>
      <c r="G657" s="43"/>
      <c r="I657" s="43"/>
    </row>
    <row r="658">
      <c r="D658" s="43"/>
      <c r="F658" s="43"/>
      <c r="G658" s="43"/>
      <c r="I658" s="43"/>
    </row>
    <row r="659">
      <c r="D659" s="43"/>
      <c r="F659" s="43"/>
      <c r="G659" s="43"/>
      <c r="I659" s="43"/>
    </row>
    <row r="660">
      <c r="D660" s="43"/>
      <c r="F660" s="43"/>
      <c r="G660" s="43"/>
      <c r="I660" s="43"/>
    </row>
    <row r="661">
      <c r="D661" s="43"/>
      <c r="F661" s="43"/>
      <c r="G661" s="43"/>
      <c r="I661" s="43"/>
    </row>
    <row r="662">
      <c r="D662" s="43"/>
      <c r="F662" s="43"/>
      <c r="G662" s="43"/>
      <c r="I662" s="43"/>
    </row>
    <row r="663">
      <c r="D663" s="43"/>
      <c r="F663" s="43"/>
      <c r="G663" s="43"/>
      <c r="I663" s="43"/>
    </row>
    <row r="664">
      <c r="D664" s="43"/>
      <c r="F664" s="43"/>
      <c r="G664" s="43"/>
      <c r="I664" s="43"/>
    </row>
    <row r="665">
      <c r="D665" s="43"/>
      <c r="F665" s="43"/>
      <c r="G665" s="43"/>
      <c r="I665" s="43"/>
    </row>
    <row r="666">
      <c r="D666" s="43"/>
      <c r="F666" s="43"/>
      <c r="G666" s="43"/>
      <c r="I666" s="43"/>
    </row>
    <row r="667">
      <c r="D667" s="43"/>
      <c r="F667" s="43"/>
      <c r="G667" s="43"/>
      <c r="I667" s="43"/>
    </row>
    <row r="668">
      <c r="D668" s="43"/>
      <c r="F668" s="43"/>
      <c r="G668" s="43"/>
      <c r="I668" s="43"/>
    </row>
    <row r="669">
      <c r="D669" s="43"/>
      <c r="F669" s="43"/>
      <c r="G669" s="43"/>
      <c r="I669" s="43"/>
    </row>
    <row r="670">
      <c r="D670" s="43"/>
      <c r="F670" s="43"/>
      <c r="G670" s="43"/>
      <c r="I670" s="43"/>
    </row>
    <row r="671">
      <c r="D671" s="43"/>
      <c r="F671" s="43"/>
      <c r="G671" s="43"/>
      <c r="I671" s="43"/>
    </row>
    <row r="672">
      <c r="D672" s="43"/>
      <c r="F672" s="43"/>
      <c r="G672" s="43"/>
      <c r="I672" s="43"/>
    </row>
    <row r="673">
      <c r="D673" s="43"/>
      <c r="F673" s="43"/>
      <c r="G673" s="43"/>
      <c r="I673" s="43"/>
    </row>
    <row r="674">
      <c r="D674" s="43"/>
      <c r="F674" s="43"/>
      <c r="G674" s="43"/>
      <c r="I674" s="43"/>
    </row>
    <row r="675">
      <c r="D675" s="43"/>
      <c r="F675" s="43"/>
      <c r="G675" s="43"/>
      <c r="I675" s="43"/>
    </row>
    <row r="676">
      <c r="D676" s="43"/>
      <c r="F676" s="43"/>
      <c r="G676" s="43"/>
      <c r="I676" s="43"/>
    </row>
    <row r="677">
      <c r="D677" s="43"/>
      <c r="F677" s="43"/>
      <c r="G677" s="43"/>
      <c r="I677" s="43"/>
    </row>
    <row r="678">
      <c r="D678" s="43"/>
      <c r="F678" s="43"/>
      <c r="G678" s="43"/>
      <c r="I678" s="43"/>
    </row>
    <row r="679">
      <c r="D679" s="43"/>
      <c r="F679" s="43"/>
      <c r="G679" s="43"/>
      <c r="I679" s="43"/>
    </row>
    <row r="680">
      <c r="D680" s="43"/>
      <c r="F680" s="43"/>
      <c r="G680" s="43"/>
      <c r="I680" s="43"/>
    </row>
    <row r="681">
      <c r="D681" s="43"/>
      <c r="F681" s="43"/>
      <c r="G681" s="43"/>
      <c r="I681" s="43"/>
    </row>
    <row r="682">
      <c r="D682" s="43"/>
      <c r="F682" s="43"/>
      <c r="G682" s="43"/>
      <c r="I682" s="43"/>
    </row>
    <row r="683">
      <c r="D683" s="43"/>
      <c r="F683" s="43"/>
      <c r="G683" s="43"/>
      <c r="I683" s="43"/>
    </row>
    <row r="684">
      <c r="D684" s="43"/>
      <c r="F684" s="43"/>
      <c r="G684" s="43"/>
      <c r="I684" s="43"/>
    </row>
    <row r="685">
      <c r="D685" s="43"/>
      <c r="F685" s="43"/>
      <c r="G685" s="43"/>
      <c r="I685" s="43"/>
    </row>
    <row r="686">
      <c r="D686" s="43"/>
      <c r="F686" s="43"/>
      <c r="G686" s="43"/>
      <c r="I686" s="43"/>
    </row>
    <row r="687">
      <c r="D687" s="43"/>
      <c r="F687" s="43"/>
      <c r="G687" s="43"/>
      <c r="I687" s="43"/>
    </row>
    <row r="688">
      <c r="D688" s="43"/>
      <c r="F688" s="43"/>
      <c r="G688" s="43"/>
      <c r="I688" s="43"/>
    </row>
    <row r="689">
      <c r="D689" s="43"/>
      <c r="F689" s="43"/>
      <c r="G689" s="43"/>
      <c r="I689" s="43"/>
    </row>
    <row r="690">
      <c r="D690" s="43"/>
      <c r="F690" s="43"/>
      <c r="G690" s="43"/>
      <c r="I690" s="43"/>
    </row>
    <row r="691">
      <c r="D691" s="43"/>
      <c r="F691" s="43"/>
      <c r="G691" s="43"/>
      <c r="I691" s="43"/>
    </row>
    <row r="692">
      <c r="D692" s="43"/>
      <c r="F692" s="43"/>
      <c r="G692" s="43"/>
      <c r="I692" s="43"/>
    </row>
    <row r="693">
      <c r="D693" s="43"/>
      <c r="F693" s="43"/>
      <c r="G693" s="43"/>
      <c r="I693" s="43"/>
    </row>
    <row r="694">
      <c r="D694" s="43"/>
      <c r="F694" s="43"/>
      <c r="G694" s="43"/>
      <c r="I694" s="43"/>
    </row>
    <row r="695">
      <c r="D695" s="43"/>
      <c r="F695" s="43"/>
      <c r="G695" s="43"/>
      <c r="I695" s="43"/>
    </row>
    <row r="696">
      <c r="D696" s="43"/>
      <c r="F696" s="43"/>
      <c r="G696" s="43"/>
      <c r="I696" s="43"/>
    </row>
    <row r="697">
      <c r="D697" s="43"/>
      <c r="F697" s="43"/>
      <c r="G697" s="43"/>
      <c r="I697" s="43"/>
    </row>
    <row r="698">
      <c r="D698" s="43"/>
      <c r="F698" s="43"/>
      <c r="G698" s="43"/>
      <c r="I698" s="43"/>
    </row>
    <row r="699">
      <c r="D699" s="43"/>
      <c r="F699" s="43"/>
      <c r="G699" s="43"/>
      <c r="I699" s="43"/>
    </row>
    <row r="700">
      <c r="D700" s="43"/>
      <c r="F700" s="43"/>
      <c r="G700" s="43"/>
      <c r="I700" s="43"/>
    </row>
    <row r="701">
      <c r="D701" s="43"/>
      <c r="F701" s="43"/>
      <c r="G701" s="43"/>
      <c r="I701" s="43"/>
    </row>
    <row r="702">
      <c r="D702" s="43"/>
      <c r="F702" s="43"/>
      <c r="G702" s="43"/>
      <c r="I702" s="43"/>
    </row>
    <row r="703">
      <c r="D703" s="43"/>
      <c r="F703" s="43"/>
      <c r="G703" s="43"/>
      <c r="I703" s="43"/>
    </row>
    <row r="704">
      <c r="D704" s="43"/>
      <c r="F704" s="43"/>
      <c r="G704" s="43"/>
      <c r="I704" s="43"/>
    </row>
    <row r="705">
      <c r="D705" s="43"/>
      <c r="F705" s="43"/>
      <c r="G705" s="43"/>
      <c r="I705" s="43"/>
    </row>
    <row r="706">
      <c r="D706" s="43"/>
      <c r="F706" s="43"/>
      <c r="G706" s="43"/>
      <c r="I706" s="43"/>
    </row>
    <row r="707">
      <c r="D707" s="43"/>
      <c r="F707" s="43"/>
      <c r="G707" s="43"/>
      <c r="I707" s="43"/>
    </row>
    <row r="708">
      <c r="D708" s="43"/>
      <c r="F708" s="43"/>
      <c r="G708" s="43"/>
      <c r="I708" s="43"/>
    </row>
    <row r="709">
      <c r="D709" s="43"/>
      <c r="F709" s="43"/>
      <c r="G709" s="43"/>
      <c r="I709" s="43"/>
    </row>
    <row r="710">
      <c r="D710" s="43"/>
      <c r="F710" s="43"/>
      <c r="G710" s="43"/>
      <c r="I710" s="43"/>
    </row>
    <row r="711">
      <c r="D711" s="43"/>
      <c r="F711" s="43"/>
      <c r="G711" s="43"/>
      <c r="I711" s="43"/>
    </row>
    <row r="712">
      <c r="D712" s="43"/>
      <c r="F712" s="43"/>
      <c r="G712" s="43"/>
      <c r="I712" s="43"/>
    </row>
    <row r="713">
      <c r="D713" s="43"/>
      <c r="F713" s="43"/>
      <c r="G713" s="43"/>
      <c r="I713" s="43"/>
    </row>
    <row r="714">
      <c r="D714" s="43"/>
      <c r="F714" s="43"/>
      <c r="G714" s="43"/>
      <c r="I714" s="43"/>
    </row>
    <row r="715">
      <c r="D715" s="43"/>
      <c r="F715" s="43"/>
      <c r="G715" s="43"/>
      <c r="I715" s="43"/>
    </row>
    <row r="716">
      <c r="D716" s="43"/>
      <c r="F716" s="43"/>
      <c r="G716" s="43"/>
      <c r="I716" s="43"/>
    </row>
    <row r="717">
      <c r="D717" s="43"/>
      <c r="F717" s="43"/>
      <c r="G717" s="43"/>
      <c r="I717" s="43"/>
    </row>
    <row r="718">
      <c r="D718" s="43"/>
      <c r="F718" s="43"/>
      <c r="G718" s="43"/>
      <c r="I718" s="43"/>
    </row>
    <row r="719">
      <c r="D719" s="43"/>
      <c r="F719" s="43"/>
      <c r="G719" s="43"/>
      <c r="I719" s="43"/>
    </row>
    <row r="720">
      <c r="D720" s="43"/>
      <c r="F720" s="43"/>
      <c r="G720" s="43"/>
      <c r="I720" s="43"/>
    </row>
    <row r="721">
      <c r="D721" s="43"/>
      <c r="F721" s="43"/>
      <c r="G721" s="43"/>
      <c r="I721" s="43"/>
    </row>
    <row r="722">
      <c r="D722" s="43"/>
      <c r="F722" s="43"/>
      <c r="G722" s="43"/>
      <c r="I722" s="43"/>
    </row>
    <row r="723">
      <c r="D723" s="43"/>
      <c r="F723" s="43"/>
      <c r="G723" s="43"/>
      <c r="I723" s="43"/>
    </row>
    <row r="724">
      <c r="D724" s="43"/>
      <c r="F724" s="43"/>
      <c r="G724" s="43"/>
      <c r="I724" s="43"/>
    </row>
    <row r="725">
      <c r="D725" s="43"/>
      <c r="F725" s="43"/>
      <c r="G725" s="43"/>
      <c r="I725" s="43"/>
    </row>
    <row r="726">
      <c r="D726" s="43"/>
      <c r="F726" s="43"/>
      <c r="G726" s="43"/>
      <c r="I726" s="43"/>
    </row>
    <row r="727">
      <c r="D727" s="43"/>
      <c r="F727" s="43"/>
      <c r="G727" s="43"/>
      <c r="I727" s="43"/>
    </row>
    <row r="728">
      <c r="D728" s="43"/>
      <c r="F728" s="43"/>
      <c r="G728" s="43"/>
      <c r="I728" s="43"/>
    </row>
    <row r="729">
      <c r="D729" s="43"/>
      <c r="F729" s="43"/>
      <c r="G729" s="43"/>
      <c r="I729" s="43"/>
    </row>
    <row r="730">
      <c r="D730" s="43"/>
      <c r="F730" s="43"/>
      <c r="G730" s="43"/>
      <c r="I730" s="43"/>
    </row>
    <row r="731">
      <c r="D731" s="43"/>
      <c r="F731" s="43"/>
      <c r="G731" s="43"/>
      <c r="I731" s="43"/>
    </row>
    <row r="732">
      <c r="D732" s="43"/>
      <c r="F732" s="43"/>
      <c r="G732" s="43"/>
      <c r="I732" s="43"/>
    </row>
    <row r="733">
      <c r="D733" s="43"/>
      <c r="F733" s="43"/>
      <c r="G733" s="43"/>
      <c r="I733" s="43"/>
    </row>
    <row r="734">
      <c r="D734" s="43"/>
      <c r="F734" s="43"/>
      <c r="G734" s="43"/>
      <c r="I734" s="43"/>
    </row>
    <row r="735">
      <c r="D735" s="43"/>
      <c r="F735" s="43"/>
      <c r="G735" s="43"/>
      <c r="I735" s="43"/>
    </row>
    <row r="736">
      <c r="D736" s="43"/>
      <c r="F736" s="43"/>
      <c r="G736" s="43"/>
      <c r="I736" s="43"/>
    </row>
    <row r="737">
      <c r="D737" s="43"/>
      <c r="F737" s="43"/>
      <c r="G737" s="43"/>
      <c r="I737" s="43"/>
    </row>
    <row r="738">
      <c r="D738" s="43"/>
      <c r="F738" s="43"/>
      <c r="G738" s="43"/>
      <c r="I738" s="43"/>
    </row>
    <row r="739">
      <c r="D739" s="43"/>
      <c r="F739" s="43"/>
      <c r="G739" s="43"/>
      <c r="I739" s="43"/>
    </row>
    <row r="740">
      <c r="D740" s="43"/>
      <c r="F740" s="43"/>
      <c r="G740" s="43"/>
      <c r="I740" s="43"/>
    </row>
    <row r="741">
      <c r="D741" s="43"/>
      <c r="F741" s="43"/>
      <c r="G741" s="43"/>
      <c r="I741" s="43"/>
    </row>
    <row r="742">
      <c r="D742" s="43"/>
      <c r="F742" s="43"/>
      <c r="G742" s="43"/>
      <c r="I742" s="43"/>
    </row>
    <row r="743">
      <c r="D743" s="43"/>
      <c r="F743" s="43"/>
      <c r="G743" s="43"/>
      <c r="I743" s="43"/>
    </row>
    <row r="744">
      <c r="D744" s="43"/>
      <c r="F744" s="43"/>
      <c r="G744" s="43"/>
      <c r="I744" s="43"/>
    </row>
    <row r="745">
      <c r="D745" s="43"/>
      <c r="F745" s="43"/>
      <c r="G745" s="43"/>
      <c r="I745" s="43"/>
    </row>
    <row r="746">
      <c r="D746" s="43"/>
      <c r="F746" s="43"/>
      <c r="G746" s="43"/>
      <c r="I746" s="43"/>
    </row>
    <row r="747">
      <c r="D747" s="43"/>
      <c r="F747" s="43"/>
      <c r="G747" s="43"/>
      <c r="I747" s="43"/>
    </row>
    <row r="748">
      <c r="D748" s="43"/>
      <c r="F748" s="43"/>
      <c r="G748" s="43"/>
      <c r="I748" s="43"/>
    </row>
    <row r="749">
      <c r="D749" s="43"/>
      <c r="F749" s="43"/>
      <c r="G749" s="43"/>
      <c r="I749" s="43"/>
    </row>
    <row r="750">
      <c r="D750" s="43"/>
      <c r="F750" s="43"/>
      <c r="G750" s="43"/>
      <c r="I750" s="43"/>
    </row>
    <row r="751">
      <c r="D751" s="43"/>
      <c r="F751" s="43"/>
      <c r="G751" s="43"/>
      <c r="I751" s="43"/>
    </row>
    <row r="752">
      <c r="D752" s="43"/>
      <c r="F752" s="43"/>
      <c r="G752" s="43"/>
      <c r="I752" s="43"/>
    </row>
    <row r="753">
      <c r="D753" s="43"/>
      <c r="F753" s="43"/>
      <c r="G753" s="43"/>
      <c r="I753" s="43"/>
    </row>
    <row r="754">
      <c r="D754" s="43"/>
      <c r="F754" s="43"/>
      <c r="G754" s="43"/>
      <c r="I754" s="43"/>
    </row>
    <row r="755">
      <c r="D755" s="43"/>
      <c r="F755" s="43"/>
      <c r="G755" s="43"/>
      <c r="I755" s="43"/>
    </row>
    <row r="756">
      <c r="D756" s="43"/>
      <c r="F756" s="43"/>
      <c r="G756" s="43"/>
      <c r="I756" s="43"/>
    </row>
    <row r="757">
      <c r="D757" s="43"/>
      <c r="F757" s="43"/>
      <c r="G757" s="43"/>
      <c r="I757" s="43"/>
    </row>
    <row r="758">
      <c r="D758" s="43"/>
      <c r="F758" s="43"/>
      <c r="G758" s="43"/>
      <c r="I758" s="43"/>
    </row>
    <row r="759">
      <c r="D759" s="43"/>
      <c r="F759" s="43"/>
      <c r="G759" s="43"/>
      <c r="I759" s="43"/>
    </row>
    <row r="760">
      <c r="D760" s="43"/>
      <c r="F760" s="43"/>
      <c r="G760" s="43"/>
      <c r="I760" s="43"/>
    </row>
    <row r="761">
      <c r="D761" s="43"/>
      <c r="F761" s="43"/>
      <c r="G761" s="43"/>
      <c r="I761" s="43"/>
    </row>
    <row r="762">
      <c r="D762" s="43"/>
      <c r="F762" s="43"/>
      <c r="G762" s="43"/>
      <c r="I762" s="43"/>
    </row>
    <row r="763">
      <c r="D763" s="43"/>
      <c r="F763" s="43"/>
      <c r="G763" s="43"/>
      <c r="I763" s="43"/>
    </row>
    <row r="764">
      <c r="D764" s="43"/>
      <c r="F764" s="43"/>
      <c r="G764" s="43"/>
      <c r="I764" s="43"/>
    </row>
    <row r="765">
      <c r="D765" s="43"/>
      <c r="F765" s="43"/>
      <c r="G765" s="43"/>
      <c r="I765" s="43"/>
    </row>
    <row r="766">
      <c r="D766" s="43"/>
      <c r="F766" s="43"/>
      <c r="G766" s="43"/>
      <c r="I766" s="43"/>
    </row>
    <row r="767">
      <c r="D767" s="43"/>
      <c r="F767" s="43"/>
      <c r="G767" s="43"/>
      <c r="I767" s="43"/>
    </row>
    <row r="768">
      <c r="D768" s="43"/>
      <c r="F768" s="43"/>
      <c r="G768" s="43"/>
      <c r="I768" s="43"/>
    </row>
    <row r="769">
      <c r="D769" s="43"/>
      <c r="F769" s="43"/>
      <c r="G769" s="43"/>
      <c r="I769" s="43"/>
    </row>
    <row r="770">
      <c r="D770" s="43"/>
      <c r="F770" s="43"/>
      <c r="G770" s="43"/>
      <c r="I770" s="43"/>
    </row>
    <row r="771">
      <c r="D771" s="43"/>
      <c r="F771" s="43"/>
      <c r="G771" s="43"/>
      <c r="I771" s="43"/>
    </row>
    <row r="772">
      <c r="D772" s="43"/>
      <c r="F772" s="43"/>
      <c r="G772" s="43"/>
      <c r="I772" s="43"/>
    </row>
    <row r="773">
      <c r="D773" s="43"/>
      <c r="F773" s="43"/>
      <c r="G773" s="43"/>
      <c r="I773" s="43"/>
    </row>
    <row r="774">
      <c r="D774" s="43"/>
      <c r="F774" s="43"/>
      <c r="G774" s="43"/>
      <c r="I774" s="43"/>
    </row>
    <row r="775">
      <c r="D775" s="43"/>
      <c r="F775" s="43"/>
      <c r="G775" s="43"/>
      <c r="I775" s="43"/>
    </row>
    <row r="776">
      <c r="D776" s="43"/>
      <c r="F776" s="43"/>
      <c r="G776" s="43"/>
      <c r="I776" s="43"/>
    </row>
    <row r="777">
      <c r="D777" s="43"/>
      <c r="F777" s="43"/>
      <c r="G777" s="43"/>
      <c r="I777" s="43"/>
    </row>
    <row r="778">
      <c r="D778" s="43"/>
      <c r="F778" s="43"/>
      <c r="G778" s="43"/>
      <c r="I778" s="43"/>
    </row>
    <row r="779">
      <c r="D779" s="43"/>
      <c r="F779" s="43"/>
      <c r="G779" s="43"/>
      <c r="I779" s="43"/>
    </row>
    <row r="780">
      <c r="D780" s="43"/>
      <c r="F780" s="43"/>
      <c r="G780" s="43"/>
      <c r="I780" s="43"/>
    </row>
    <row r="781">
      <c r="D781" s="43"/>
      <c r="F781" s="43"/>
      <c r="G781" s="43"/>
      <c r="I781" s="43"/>
    </row>
    <row r="782">
      <c r="D782" s="43"/>
      <c r="F782" s="43"/>
      <c r="G782" s="43"/>
      <c r="I782" s="43"/>
    </row>
    <row r="783">
      <c r="D783" s="43"/>
      <c r="F783" s="43"/>
      <c r="G783" s="43"/>
      <c r="I783" s="43"/>
    </row>
    <row r="784">
      <c r="D784" s="43"/>
      <c r="F784" s="43"/>
      <c r="G784" s="43"/>
      <c r="I784" s="43"/>
    </row>
    <row r="785">
      <c r="D785" s="43"/>
      <c r="F785" s="43"/>
      <c r="G785" s="43"/>
      <c r="I785" s="43"/>
    </row>
    <row r="786">
      <c r="D786" s="43"/>
      <c r="F786" s="43"/>
      <c r="G786" s="43"/>
      <c r="I786" s="43"/>
    </row>
    <row r="787">
      <c r="D787" s="43"/>
      <c r="F787" s="43"/>
      <c r="G787" s="43"/>
      <c r="I787" s="43"/>
    </row>
    <row r="788">
      <c r="D788" s="43"/>
      <c r="F788" s="43"/>
      <c r="G788" s="43"/>
      <c r="I788" s="43"/>
    </row>
    <row r="789">
      <c r="D789" s="43"/>
      <c r="F789" s="43"/>
      <c r="G789" s="43"/>
      <c r="I789" s="43"/>
    </row>
    <row r="790">
      <c r="D790" s="43"/>
      <c r="F790" s="43"/>
      <c r="G790" s="43"/>
      <c r="I790" s="43"/>
    </row>
    <row r="791">
      <c r="D791" s="43"/>
      <c r="F791" s="43"/>
      <c r="G791" s="43"/>
      <c r="I791" s="43"/>
    </row>
    <row r="792">
      <c r="D792" s="43"/>
      <c r="F792" s="43"/>
      <c r="G792" s="43"/>
      <c r="I792" s="43"/>
    </row>
    <row r="793">
      <c r="D793" s="43"/>
      <c r="F793" s="43"/>
      <c r="G793" s="43"/>
      <c r="I793" s="43"/>
    </row>
    <row r="794">
      <c r="D794" s="43"/>
      <c r="F794" s="43"/>
      <c r="G794" s="43"/>
      <c r="I794" s="43"/>
    </row>
    <row r="795">
      <c r="D795" s="43"/>
      <c r="F795" s="43"/>
      <c r="G795" s="43"/>
      <c r="I795" s="43"/>
    </row>
    <row r="796">
      <c r="D796" s="43"/>
      <c r="F796" s="43"/>
      <c r="G796" s="43"/>
      <c r="I796" s="43"/>
    </row>
    <row r="797">
      <c r="D797" s="43"/>
      <c r="F797" s="43"/>
      <c r="G797" s="43"/>
      <c r="I797" s="43"/>
    </row>
    <row r="798">
      <c r="D798" s="43"/>
      <c r="F798" s="43"/>
      <c r="G798" s="43"/>
      <c r="I798" s="43"/>
    </row>
    <row r="799">
      <c r="D799" s="43"/>
      <c r="F799" s="43"/>
      <c r="G799" s="43"/>
      <c r="I799" s="43"/>
    </row>
    <row r="800">
      <c r="D800" s="43"/>
      <c r="F800" s="43"/>
      <c r="G800" s="43"/>
      <c r="I800" s="43"/>
    </row>
    <row r="801">
      <c r="D801" s="43"/>
      <c r="F801" s="43"/>
      <c r="G801" s="43"/>
      <c r="I801" s="43"/>
    </row>
    <row r="802">
      <c r="D802" s="43"/>
      <c r="F802" s="43"/>
      <c r="G802" s="43"/>
      <c r="I802" s="43"/>
    </row>
    <row r="803">
      <c r="D803" s="43"/>
      <c r="F803" s="43"/>
      <c r="G803" s="43"/>
      <c r="I803" s="43"/>
    </row>
    <row r="804">
      <c r="D804" s="43"/>
      <c r="F804" s="43"/>
      <c r="G804" s="43"/>
      <c r="I804" s="43"/>
    </row>
    <row r="805">
      <c r="D805" s="43"/>
      <c r="F805" s="43"/>
      <c r="G805" s="43"/>
      <c r="I805" s="43"/>
    </row>
    <row r="806">
      <c r="D806" s="43"/>
      <c r="F806" s="43"/>
      <c r="G806" s="43"/>
      <c r="I806" s="43"/>
    </row>
    <row r="807">
      <c r="D807" s="43"/>
      <c r="F807" s="43"/>
      <c r="G807" s="43"/>
      <c r="I807" s="43"/>
    </row>
    <row r="808">
      <c r="D808" s="43"/>
      <c r="F808" s="43"/>
      <c r="G808" s="43"/>
      <c r="I808" s="43"/>
    </row>
    <row r="809">
      <c r="D809" s="43"/>
      <c r="F809" s="43"/>
      <c r="G809" s="43"/>
      <c r="I809" s="43"/>
    </row>
    <row r="810">
      <c r="D810" s="43"/>
      <c r="F810" s="43"/>
      <c r="G810" s="43"/>
      <c r="I810" s="43"/>
    </row>
    <row r="811">
      <c r="D811" s="43"/>
      <c r="F811" s="43"/>
      <c r="G811" s="43"/>
      <c r="I811" s="43"/>
    </row>
    <row r="812">
      <c r="D812" s="43"/>
      <c r="F812" s="43"/>
      <c r="G812" s="43"/>
      <c r="I812" s="43"/>
    </row>
    <row r="813">
      <c r="D813" s="43"/>
      <c r="F813" s="43"/>
      <c r="G813" s="43"/>
      <c r="I813" s="43"/>
    </row>
    <row r="814">
      <c r="D814" s="43"/>
      <c r="F814" s="43"/>
      <c r="G814" s="43"/>
      <c r="I814" s="43"/>
    </row>
    <row r="815">
      <c r="D815" s="43"/>
      <c r="F815" s="43"/>
      <c r="G815" s="43"/>
      <c r="I815" s="43"/>
    </row>
    <row r="816">
      <c r="D816" s="43"/>
      <c r="F816" s="43"/>
      <c r="G816" s="43"/>
      <c r="I816" s="43"/>
    </row>
    <row r="817">
      <c r="D817" s="43"/>
      <c r="F817" s="43"/>
      <c r="G817" s="43"/>
      <c r="I817" s="43"/>
    </row>
    <row r="818">
      <c r="D818" s="43"/>
      <c r="F818" s="43"/>
      <c r="G818" s="43"/>
      <c r="I818" s="43"/>
    </row>
    <row r="819">
      <c r="D819" s="43"/>
      <c r="F819" s="43"/>
      <c r="G819" s="43"/>
      <c r="I819" s="43"/>
    </row>
    <row r="820">
      <c r="D820" s="43"/>
      <c r="F820" s="43"/>
      <c r="G820" s="43"/>
      <c r="I820" s="43"/>
    </row>
    <row r="821">
      <c r="D821" s="43"/>
      <c r="F821" s="43"/>
      <c r="G821" s="43"/>
      <c r="I821" s="43"/>
    </row>
    <row r="822">
      <c r="D822" s="43"/>
      <c r="F822" s="43"/>
      <c r="G822" s="43"/>
      <c r="I822" s="43"/>
    </row>
    <row r="823">
      <c r="D823" s="43"/>
      <c r="F823" s="43"/>
      <c r="G823" s="43"/>
      <c r="I823" s="43"/>
    </row>
    <row r="824">
      <c r="D824" s="43"/>
      <c r="F824" s="43"/>
      <c r="G824" s="43"/>
      <c r="I824" s="43"/>
    </row>
    <row r="825">
      <c r="D825" s="43"/>
      <c r="F825" s="43"/>
      <c r="G825" s="43"/>
      <c r="I825" s="43"/>
    </row>
    <row r="826">
      <c r="D826" s="43"/>
      <c r="F826" s="43"/>
      <c r="G826" s="43"/>
      <c r="I826" s="43"/>
    </row>
    <row r="827">
      <c r="D827" s="43"/>
      <c r="F827" s="43"/>
      <c r="G827" s="43"/>
      <c r="I827" s="43"/>
    </row>
    <row r="828">
      <c r="D828" s="43"/>
      <c r="F828" s="43"/>
      <c r="G828" s="43"/>
      <c r="I828" s="43"/>
    </row>
    <row r="829">
      <c r="D829" s="43"/>
      <c r="F829" s="43"/>
      <c r="G829" s="43"/>
      <c r="I829" s="43"/>
    </row>
    <row r="830">
      <c r="D830" s="43"/>
      <c r="F830" s="43"/>
      <c r="G830" s="43"/>
      <c r="I830" s="43"/>
    </row>
    <row r="831">
      <c r="D831" s="43"/>
      <c r="F831" s="43"/>
      <c r="G831" s="43"/>
      <c r="I831" s="43"/>
    </row>
    <row r="832">
      <c r="D832" s="43"/>
      <c r="F832" s="43"/>
      <c r="G832" s="43"/>
      <c r="I832" s="43"/>
    </row>
    <row r="833">
      <c r="D833" s="43"/>
      <c r="F833" s="43"/>
      <c r="G833" s="43"/>
      <c r="I833" s="43"/>
    </row>
    <row r="834">
      <c r="D834" s="43"/>
      <c r="F834" s="43"/>
      <c r="G834" s="43"/>
      <c r="I834" s="43"/>
    </row>
    <row r="835">
      <c r="D835" s="43"/>
      <c r="F835" s="43"/>
      <c r="G835" s="43"/>
      <c r="I835" s="43"/>
    </row>
    <row r="836">
      <c r="D836" s="43"/>
      <c r="F836" s="43"/>
      <c r="G836" s="43"/>
      <c r="I836" s="43"/>
    </row>
    <row r="837">
      <c r="D837" s="43"/>
      <c r="F837" s="43"/>
      <c r="G837" s="43"/>
      <c r="I837" s="43"/>
    </row>
    <row r="838">
      <c r="D838" s="43"/>
      <c r="F838" s="43"/>
      <c r="G838" s="43"/>
      <c r="I838" s="43"/>
    </row>
    <row r="839">
      <c r="D839" s="43"/>
      <c r="F839" s="43"/>
      <c r="G839" s="43"/>
      <c r="I839" s="43"/>
    </row>
    <row r="840">
      <c r="D840" s="43"/>
      <c r="F840" s="43"/>
      <c r="G840" s="43"/>
      <c r="I840" s="43"/>
    </row>
    <row r="841">
      <c r="D841" s="43"/>
      <c r="F841" s="43"/>
      <c r="G841" s="43"/>
      <c r="I841" s="43"/>
    </row>
    <row r="842">
      <c r="D842" s="43"/>
      <c r="F842" s="43"/>
      <c r="G842" s="43"/>
      <c r="I842" s="43"/>
    </row>
    <row r="843">
      <c r="D843" s="43"/>
      <c r="F843" s="43"/>
      <c r="G843" s="43"/>
      <c r="I843" s="43"/>
    </row>
    <row r="844">
      <c r="D844" s="43"/>
      <c r="F844" s="43"/>
      <c r="G844" s="43"/>
      <c r="I844" s="43"/>
    </row>
    <row r="845">
      <c r="D845" s="43"/>
      <c r="F845" s="43"/>
      <c r="G845" s="43"/>
      <c r="I845" s="43"/>
    </row>
    <row r="846">
      <c r="D846" s="43"/>
      <c r="F846" s="43"/>
      <c r="G846" s="43"/>
      <c r="I846" s="43"/>
    </row>
    <row r="847">
      <c r="D847" s="43"/>
      <c r="F847" s="43"/>
      <c r="G847" s="43"/>
      <c r="I847" s="43"/>
    </row>
    <row r="848">
      <c r="D848" s="43"/>
      <c r="F848" s="43"/>
      <c r="G848" s="43"/>
      <c r="I848" s="43"/>
    </row>
    <row r="849">
      <c r="D849" s="43"/>
      <c r="F849" s="43"/>
      <c r="G849" s="43"/>
      <c r="I849" s="43"/>
    </row>
    <row r="850">
      <c r="D850" s="43"/>
      <c r="F850" s="43"/>
      <c r="G850" s="43"/>
      <c r="I850" s="43"/>
    </row>
    <row r="851">
      <c r="D851" s="43"/>
      <c r="F851" s="43"/>
      <c r="G851" s="43"/>
      <c r="I851" s="43"/>
    </row>
    <row r="852">
      <c r="D852" s="43"/>
      <c r="F852" s="43"/>
      <c r="G852" s="43"/>
      <c r="I852" s="43"/>
    </row>
    <row r="853">
      <c r="D853" s="43"/>
      <c r="F853" s="43"/>
      <c r="G853" s="43"/>
      <c r="I853" s="43"/>
    </row>
    <row r="854">
      <c r="D854" s="43"/>
      <c r="F854" s="43"/>
      <c r="G854" s="43"/>
      <c r="I854" s="43"/>
    </row>
    <row r="855">
      <c r="D855" s="43"/>
      <c r="F855" s="43"/>
      <c r="G855" s="43"/>
      <c r="I855" s="43"/>
    </row>
    <row r="856">
      <c r="D856" s="43"/>
      <c r="F856" s="43"/>
      <c r="G856" s="43"/>
      <c r="I856" s="43"/>
    </row>
    <row r="857">
      <c r="D857" s="43"/>
      <c r="F857" s="43"/>
      <c r="G857" s="43"/>
      <c r="I857" s="43"/>
    </row>
    <row r="858">
      <c r="D858" s="43"/>
      <c r="F858" s="43"/>
      <c r="G858" s="43"/>
      <c r="I858" s="43"/>
    </row>
    <row r="859">
      <c r="D859" s="43"/>
      <c r="F859" s="43"/>
      <c r="G859" s="43"/>
      <c r="I859" s="43"/>
    </row>
    <row r="860">
      <c r="D860" s="43"/>
      <c r="F860" s="43"/>
      <c r="G860" s="43"/>
      <c r="I860" s="43"/>
    </row>
    <row r="861">
      <c r="D861" s="43"/>
      <c r="F861" s="43"/>
      <c r="G861" s="43"/>
      <c r="I861" s="43"/>
    </row>
    <row r="862">
      <c r="D862" s="43"/>
      <c r="F862" s="43"/>
      <c r="G862" s="43"/>
      <c r="I862" s="43"/>
    </row>
    <row r="863">
      <c r="D863" s="43"/>
      <c r="F863" s="43"/>
      <c r="G863" s="43"/>
      <c r="I863" s="43"/>
    </row>
    <row r="864">
      <c r="D864" s="43"/>
      <c r="F864" s="43"/>
      <c r="G864" s="43"/>
      <c r="I864" s="43"/>
    </row>
    <row r="865">
      <c r="D865" s="43"/>
      <c r="F865" s="43"/>
      <c r="G865" s="43"/>
      <c r="I865" s="43"/>
    </row>
    <row r="866">
      <c r="D866" s="43"/>
      <c r="F866" s="43"/>
      <c r="G866" s="43"/>
      <c r="I866" s="43"/>
    </row>
    <row r="867">
      <c r="D867" s="43"/>
      <c r="F867" s="43"/>
      <c r="G867" s="43"/>
      <c r="I867" s="43"/>
    </row>
    <row r="868">
      <c r="D868" s="43"/>
      <c r="F868" s="43"/>
      <c r="G868" s="43"/>
      <c r="I868" s="43"/>
    </row>
    <row r="869">
      <c r="D869" s="43"/>
      <c r="F869" s="43"/>
      <c r="G869" s="43"/>
      <c r="I869" s="43"/>
    </row>
    <row r="870">
      <c r="D870" s="43"/>
      <c r="F870" s="43"/>
      <c r="G870" s="43"/>
      <c r="I870" s="43"/>
    </row>
    <row r="871">
      <c r="D871" s="43"/>
      <c r="F871" s="43"/>
      <c r="G871" s="43"/>
      <c r="I871" s="43"/>
    </row>
    <row r="872">
      <c r="D872" s="43"/>
      <c r="F872" s="43"/>
      <c r="G872" s="43"/>
      <c r="I872" s="43"/>
    </row>
    <row r="873">
      <c r="D873" s="43"/>
      <c r="F873" s="43"/>
      <c r="G873" s="43"/>
      <c r="I873" s="43"/>
    </row>
    <row r="874">
      <c r="D874" s="43"/>
      <c r="F874" s="43"/>
      <c r="G874" s="43"/>
      <c r="I874" s="4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49.63"/>
    <col hidden="1" min="3" max="3" width="12.63"/>
    <col customWidth="1" min="4" max="4" width="12.25"/>
    <col customWidth="1" min="5" max="5" width="11.88"/>
    <col customWidth="1" min="6" max="6" width="12.13"/>
    <col customWidth="1" min="7" max="7" width="13.0"/>
    <col customWidth="1" min="10" max="10" width="18.25"/>
  </cols>
  <sheetData>
    <row r="1">
      <c r="A1" s="1" t="s">
        <v>189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44" t="s">
        <v>603</v>
      </c>
      <c r="J1" s="1" t="s">
        <v>604</v>
      </c>
    </row>
    <row r="2">
      <c r="A2" s="28" t="s">
        <v>203</v>
      </c>
      <c r="B2" s="29" t="str">
        <f>IFERROR(VLOOKUP(A2,Projects!$A$2:$C$7,2,FALSE),"")
</f>
        <v>.NET Corporate Portal Maintainance</v>
      </c>
      <c r="C2" s="29" t="str">
        <f t="shared" ref="C2:C6" si="1">IF(A2="","",A2&amp;"-TEAM"&amp;H2)
</f>
        <v>P1-TEAM3</v>
      </c>
      <c r="D2" s="30" t="s">
        <v>66</v>
      </c>
      <c r="E2" s="30" t="s">
        <v>19</v>
      </c>
      <c r="F2" s="30" t="s">
        <v>37</v>
      </c>
      <c r="G2" s="30" t="s">
        <v>106</v>
      </c>
      <c r="H2" s="30">
        <v>3.0</v>
      </c>
      <c r="I2" s="42">
        <v>0.164574</v>
      </c>
      <c r="J2" s="4">
        <v>3.0</v>
      </c>
    </row>
    <row r="3">
      <c r="A3" s="31"/>
      <c r="B3" s="32" t="str">
        <f>IFERROR(
"DOM  M["&amp;VLOOKUP($A2,Projects!$A:$L,4,FALSE)&amp;"] S["&amp;VLOOKUP($A2,Projects!$A:$L,5,FALSE)&amp;"] C["&amp;VLOOKUP($A2,Projects!$A:$L,6,FALSE)&amp;"]"&amp;CHAR(10)&amp;
"ECO  M["&amp;VLOOKUP($A2,Projects!$A:$L,7,FALSE)&amp;"] S["&amp;VLOOKUP($A2,Projects!$A:$L,8,FALSE)&amp;"] C["&amp;VLOOKUP($A2,Projects!$A:$L,9,FALSE)&amp;"]"&amp;CHAR(10)&amp;
"LING M["&amp;VLOOKUP($A2,Projects!$A:$L,10,FALSE)&amp;"] S["&amp;VLOOKUP($A2,Projects!$A:$L,11,FALSE)&amp;"] C["&amp;VLOOKUP($A2,Projects!$A:$L,12,FALSE)&amp;"]"
,"")
</f>
        <v>DOM  M[Desktop, Web] S[Cloud] C[Mobile]
ECO  M[.NET] S[React] C[MongoDB]
LING M[C#] S[JavaScript, TypeScript] C[Python]</v>
      </c>
      <c r="C3" s="40" t="str">
        <f t="shared" si="1"/>
        <v/>
      </c>
      <c r="D3" s="4" t="s">
        <v>34</v>
      </c>
      <c r="E3" s="4" t="s">
        <v>142</v>
      </c>
      <c r="F3" s="4" t="s">
        <v>139</v>
      </c>
      <c r="G3" s="4" t="s">
        <v>122</v>
      </c>
      <c r="H3" s="4">
        <v>4.0</v>
      </c>
      <c r="I3" s="42">
        <v>0.106921</v>
      </c>
      <c r="J3" s="45">
        <v>4.0</v>
      </c>
      <c r="K3" s="4" t="s">
        <v>605</v>
      </c>
    </row>
    <row r="4">
      <c r="A4" s="31"/>
      <c r="C4" s="40" t="str">
        <f t="shared" si="1"/>
        <v/>
      </c>
      <c r="D4" s="4" t="s">
        <v>78</v>
      </c>
      <c r="E4" s="4" t="s">
        <v>145</v>
      </c>
      <c r="F4" s="4" t="s">
        <v>106</v>
      </c>
      <c r="G4" s="4" t="s">
        <v>125</v>
      </c>
      <c r="H4" s="4">
        <v>4.0</v>
      </c>
      <c r="I4" s="42">
        <v>0.122672</v>
      </c>
      <c r="J4" s="4">
        <v>4.0</v>
      </c>
    </row>
    <row r="5">
      <c r="A5" s="31"/>
      <c r="C5" s="40" t="str">
        <f t="shared" si="1"/>
        <v/>
      </c>
      <c r="D5" s="4" t="s">
        <v>24</v>
      </c>
      <c r="E5" s="4" t="s">
        <v>98</v>
      </c>
      <c r="F5" s="4" t="s">
        <v>88</v>
      </c>
      <c r="G5" s="4" t="s">
        <v>39</v>
      </c>
      <c r="H5" s="4">
        <v>1.0</v>
      </c>
      <c r="I5" s="42">
        <v>0.541278</v>
      </c>
      <c r="J5" s="45">
        <v>1.0</v>
      </c>
      <c r="K5" s="4" t="s">
        <v>606</v>
      </c>
    </row>
    <row r="6">
      <c r="A6" s="33"/>
      <c r="B6" s="34"/>
      <c r="C6" s="46" t="str">
        <f t="shared" si="1"/>
        <v/>
      </c>
      <c r="D6" s="35" t="s">
        <v>100</v>
      </c>
      <c r="E6" s="35" t="s">
        <v>111</v>
      </c>
      <c r="F6" s="35" t="s">
        <v>145</v>
      </c>
      <c r="G6" s="35" t="s">
        <v>99</v>
      </c>
      <c r="H6" s="35">
        <v>2.0</v>
      </c>
      <c r="I6" s="42">
        <v>0.128993</v>
      </c>
      <c r="J6" s="4">
        <v>2.0</v>
      </c>
    </row>
    <row r="7">
      <c r="A7" s="36"/>
    </row>
    <row r="8">
      <c r="A8" s="28" t="s">
        <v>209</v>
      </c>
      <c r="B8" s="29" t="str">
        <f>IFERROR(VLOOKUP(A8,Projects!$A$2:$C$7,2,FALSE),"")
</f>
        <v>Hybrid Mobile App with Web Panel</v>
      </c>
      <c r="C8" s="29" t="str">
        <f t="shared" ref="C8:C12" si="2">IF(A8="","",A8&amp;"-TEAM"&amp;H8)
</f>
        <v>P2-TEAM1</v>
      </c>
      <c r="D8" s="30" t="s">
        <v>129</v>
      </c>
      <c r="E8" s="30" t="s">
        <v>39</v>
      </c>
      <c r="F8" s="30" t="s">
        <v>118</v>
      </c>
      <c r="G8" s="30" t="s">
        <v>93</v>
      </c>
      <c r="H8" s="30">
        <v>1.0</v>
      </c>
      <c r="I8" s="42">
        <v>0.275664</v>
      </c>
      <c r="J8" s="21">
        <v>1.0</v>
      </c>
      <c r="K8" s="4" t="s">
        <v>607</v>
      </c>
    </row>
    <row r="9">
      <c r="A9" s="31"/>
      <c r="B9" s="32" t="str">
        <f>IFERROR(
"DOM  M["&amp;VLOOKUP($A8,Projects!$A:$L,4,FALSE)&amp;"] S["&amp;VLOOKUP($A8,Projects!$A:$L,5,FALSE)&amp;"] C["&amp;VLOOKUP($A8,Projects!$A:$L,6,FALSE)&amp;"]"&amp;CHAR(10)&amp;
"ECO  M["&amp;VLOOKUP($A8,Projects!$A:$L,7,FALSE)&amp;"] S["&amp;VLOOKUP($A8,Projects!$A:$L,8,FALSE)&amp;"] C["&amp;VLOOKUP($A8,Projects!$A:$L,9,FALSE)&amp;"]"&amp;CHAR(10)&amp;
"LING M["&amp;VLOOKUP($A8,Projects!$A:$L,10,FALSE)&amp;"] S["&amp;VLOOKUP($A8,Projects!$A:$L,11,FALSE)&amp;"] C["&amp;VLOOKUP($A8,Projects!$A:$L,12,FALSE)&amp;"]"
,"")
</f>
        <v>DOM  M[Mobile] S[Web] C[Cloud]
ECO  M[Android, iOS/iPadOS] S[React] C[.NET]
LING M[Kotlin, Swift] S[JavaScript, TypeScript] C[Java, C#]</v>
      </c>
      <c r="C9" s="40" t="str">
        <f t="shared" si="2"/>
        <v/>
      </c>
      <c r="D9" s="4" t="s">
        <v>88</v>
      </c>
      <c r="E9" s="4" t="s">
        <v>114</v>
      </c>
      <c r="F9" s="4" t="s">
        <v>132</v>
      </c>
      <c r="G9" s="4" t="s">
        <v>135</v>
      </c>
      <c r="H9" s="4">
        <v>2.0</v>
      </c>
      <c r="I9" s="42">
        <v>0.15454</v>
      </c>
      <c r="J9" s="4">
        <v>2.0</v>
      </c>
    </row>
    <row r="10">
      <c r="A10" s="31"/>
      <c r="C10" s="40" t="str">
        <f t="shared" si="2"/>
        <v/>
      </c>
      <c r="D10" s="4" t="s">
        <v>50</v>
      </c>
      <c r="E10" s="4" t="s">
        <v>52</v>
      </c>
      <c r="F10" s="4" t="s">
        <v>112</v>
      </c>
      <c r="G10" s="4" t="s">
        <v>70</v>
      </c>
      <c r="H10" s="4">
        <v>3.0</v>
      </c>
      <c r="I10" s="42">
        <v>0.275664</v>
      </c>
      <c r="J10" s="4">
        <v>3.0</v>
      </c>
    </row>
    <row r="11">
      <c r="A11" s="31"/>
      <c r="C11" s="40" t="str">
        <f t="shared" si="2"/>
        <v/>
      </c>
      <c r="D11" s="4" t="s">
        <v>130</v>
      </c>
      <c r="E11" s="4" t="s">
        <v>85</v>
      </c>
      <c r="F11" s="4" t="s">
        <v>135</v>
      </c>
      <c r="G11" s="4" t="s">
        <v>6</v>
      </c>
      <c r="H11" s="4">
        <v>4.0</v>
      </c>
      <c r="I11" s="42">
        <v>0.275664</v>
      </c>
      <c r="J11" s="47">
        <v>5.0</v>
      </c>
      <c r="K11" s="4" t="s">
        <v>608</v>
      </c>
    </row>
    <row r="12">
      <c r="A12" s="33"/>
      <c r="B12" s="34"/>
      <c r="C12" s="46" t="str">
        <f t="shared" si="2"/>
        <v/>
      </c>
      <c r="D12" s="35" t="s">
        <v>48</v>
      </c>
      <c r="E12" s="35" t="s">
        <v>106</v>
      </c>
      <c r="F12" s="35" t="s">
        <v>147</v>
      </c>
      <c r="G12" s="35" t="s">
        <v>37</v>
      </c>
      <c r="H12" s="35">
        <v>3.0</v>
      </c>
      <c r="I12" s="42">
        <v>0.395012</v>
      </c>
      <c r="J12" s="4">
        <v>3.0</v>
      </c>
    </row>
    <row r="13">
      <c r="A13" s="36"/>
    </row>
    <row r="14">
      <c r="A14" s="28" t="s">
        <v>215</v>
      </c>
      <c r="B14" s="29" t="str">
        <f>IFERROR(VLOOKUP(A14,Projects!$A$2:$C$7,2,FALSE),"")
</f>
        <v>Cloud IoT Sensor Platform </v>
      </c>
      <c r="C14" s="29" t="str">
        <f t="shared" ref="C14:C18" si="3">IF(A14="","",A14&amp;"-TEAM"&amp;H14)
</f>
        <v>P3-TEAM3</v>
      </c>
      <c r="D14" s="30" t="s">
        <v>154</v>
      </c>
      <c r="E14" s="30" t="s">
        <v>150</v>
      </c>
      <c r="F14" s="30" t="s">
        <v>134</v>
      </c>
      <c r="G14" s="30" t="s">
        <v>156</v>
      </c>
      <c r="H14" s="30">
        <v>3.0</v>
      </c>
      <c r="I14" s="42">
        <v>0.325603</v>
      </c>
      <c r="J14" s="45">
        <v>1.0</v>
      </c>
      <c r="K14" s="4" t="s">
        <v>606</v>
      </c>
    </row>
    <row r="15">
      <c r="A15" s="31"/>
      <c r="B15" s="32" t="str">
        <f>IFERROR(
"DOM  M["&amp;VLOOKUP($A14,Projects!$A:$L,4,FALSE)&amp;"] S["&amp;VLOOKUP($A14,Projects!$A:$L,5,FALSE)&amp;"] C["&amp;VLOOKUP($A14,Projects!$A:$L,6,FALSE)&amp;"]"&amp;CHAR(10)&amp;
"ECO  M["&amp;VLOOKUP($A14,Projects!$A:$L,7,FALSE)&amp;"] S["&amp;VLOOKUP($A14,Projects!$A:$L,8,FALSE)&amp;"] C["&amp;VLOOKUP($A14,Projects!$A:$L,9,FALSE)&amp;"]"&amp;CHAR(10)&amp;
"LING M["&amp;VLOOKUP($A14,Projects!$A:$L,10,FALSE)&amp;"] S["&amp;VLOOKUP($A14,Projects!$A:$L,11,FALSE)&amp;"] C["&amp;VLOOKUP($A14,Projects!$A:$L,12,FALSE)&amp;"]"
,"")
</f>
        <v>DOM  M[IoT, Cloud] S[Web] C[Desktop]
ECO  M[AWS Lambda] S[React, Angular, MongoDB] C[Android]
LING M[Python, C++] S[JavaScript] C[Java, TypeScript]</v>
      </c>
      <c r="C15" s="40" t="str">
        <f t="shared" si="3"/>
        <v/>
      </c>
      <c r="D15" s="4" t="s">
        <v>48</v>
      </c>
      <c r="E15" s="4" t="s">
        <v>123</v>
      </c>
      <c r="F15" s="4" t="s">
        <v>157</v>
      </c>
      <c r="G15" s="4" t="s">
        <v>158</v>
      </c>
      <c r="H15" s="4">
        <v>5.0</v>
      </c>
      <c r="I15" s="42">
        <v>0.106921</v>
      </c>
      <c r="J15" s="45">
        <v>4.0</v>
      </c>
      <c r="K15" s="4" t="s">
        <v>609</v>
      </c>
    </row>
    <row r="16">
      <c r="A16" s="31"/>
      <c r="C16" s="40" t="str">
        <f t="shared" si="3"/>
        <v/>
      </c>
      <c r="D16" s="4" t="s">
        <v>159</v>
      </c>
      <c r="E16" s="4" t="s">
        <v>160</v>
      </c>
      <c r="F16" s="4" t="s">
        <v>161</v>
      </c>
      <c r="G16" s="4" t="s">
        <v>162</v>
      </c>
      <c r="H16" s="4">
        <v>4.0</v>
      </c>
      <c r="I16" s="42">
        <v>0.106921</v>
      </c>
      <c r="J16" s="4">
        <v>3.0</v>
      </c>
    </row>
    <row r="17">
      <c r="A17" s="31"/>
      <c r="C17" s="40" t="str">
        <f t="shared" si="3"/>
        <v/>
      </c>
      <c r="D17" s="4" t="s">
        <v>159</v>
      </c>
      <c r="E17" s="4" t="s">
        <v>164</v>
      </c>
      <c r="F17" s="4" t="s">
        <v>165</v>
      </c>
      <c r="G17" s="4" t="s">
        <v>166</v>
      </c>
      <c r="H17" s="4">
        <v>3.0</v>
      </c>
      <c r="I17" s="42">
        <v>0.106921</v>
      </c>
      <c r="J17" s="4">
        <v>1.0</v>
      </c>
    </row>
    <row r="18">
      <c r="A18" s="33"/>
      <c r="B18" s="34"/>
      <c r="C18" s="46" t="str">
        <f t="shared" si="3"/>
        <v/>
      </c>
      <c r="D18" s="35" t="s">
        <v>122</v>
      </c>
      <c r="E18" s="35" t="s">
        <v>167</v>
      </c>
      <c r="F18" s="35" t="s">
        <v>80</v>
      </c>
      <c r="G18" s="35" t="s">
        <v>168</v>
      </c>
      <c r="H18" s="35">
        <v>5.0</v>
      </c>
      <c r="I18" s="42">
        <v>0.106921</v>
      </c>
      <c r="J18" s="45">
        <v>4.0</v>
      </c>
    </row>
    <row r="19">
      <c r="A19" s="36"/>
    </row>
    <row r="20">
      <c r="A20" s="28" t="s">
        <v>222</v>
      </c>
      <c r="B20" s="29" t="str">
        <f>IFERROR(VLOOKUP(A20,Projects!$A$2:$C$7,2,FALSE),"")
</f>
        <v>Web Analytic Reports SaaS</v>
      </c>
      <c r="C20" s="29" t="str">
        <f t="shared" ref="C20:C24" si="4">IF(A20="","",A20&amp;"-TEAM"&amp;H20)
</f>
        <v>P4-TEAM2</v>
      </c>
      <c r="D20" s="30" t="s">
        <v>85</v>
      </c>
      <c r="E20" s="30" t="s">
        <v>83</v>
      </c>
      <c r="F20" s="30" t="s">
        <v>98</v>
      </c>
      <c r="G20" s="30" t="s">
        <v>149</v>
      </c>
      <c r="H20" s="30">
        <v>2.0</v>
      </c>
      <c r="I20" s="42">
        <v>0.399933</v>
      </c>
      <c r="J20" s="4">
        <v>2.0</v>
      </c>
    </row>
    <row r="21">
      <c r="A21" s="31"/>
      <c r="B21" s="32" t="str">
        <f>IFERROR(
"DOM  M["&amp;VLOOKUP($A20,Projects!$A:$L,4,FALSE)&amp;"] S["&amp;VLOOKUP($A20,Projects!$A:$L,5,FALSE)&amp;"] C["&amp;VLOOKUP($A20,Projects!$A:$L,6,FALSE)&amp;"]"&amp;CHAR(10)&amp;
"ECO  M["&amp;VLOOKUP($A20,Projects!$A:$L,7,FALSE)&amp;"] S["&amp;VLOOKUP($A20,Projects!$A:$L,8,FALSE)&amp;"] C["&amp;VLOOKUP($A20,Projects!$A:$L,9,FALSE)&amp;"]"&amp;CHAR(10)&amp;
"LING M["&amp;VLOOKUP($A20,Projects!$A:$L,10,FALSE)&amp;"] S["&amp;VLOOKUP($A20,Projects!$A:$L,11,FALSE)&amp;"] C["&amp;VLOOKUP($A20,Projects!$A:$L,12,FALSE)&amp;"]"
,"")
</f>
        <v>DOM  M[Web] S[Cloud] C[Desktop]
ECO  M[MongoDB] S[Angular, React] C[AWS Lambda]
LING M[JavaScript] S[TypeScript, Python] C[Java, C#]</v>
      </c>
      <c r="C21" s="40" t="str">
        <f t="shared" si="4"/>
        <v/>
      </c>
      <c r="D21" s="4" t="s">
        <v>62</v>
      </c>
      <c r="E21" s="4" t="s">
        <v>28</v>
      </c>
      <c r="F21" s="4" t="s">
        <v>81</v>
      </c>
      <c r="G21" s="4" t="s">
        <v>85</v>
      </c>
      <c r="H21" s="4">
        <v>3.0</v>
      </c>
      <c r="I21" s="42">
        <v>0.387124</v>
      </c>
      <c r="J21" s="4">
        <v>3.0</v>
      </c>
    </row>
    <row r="22">
      <c r="A22" s="31"/>
      <c r="C22" s="40" t="str">
        <f t="shared" si="4"/>
        <v/>
      </c>
      <c r="D22" s="4" t="s">
        <v>70</v>
      </c>
      <c r="E22" s="4" t="s">
        <v>74</v>
      </c>
      <c r="F22" s="4" t="s">
        <v>11</v>
      </c>
      <c r="G22" s="4" t="s">
        <v>65</v>
      </c>
      <c r="H22" s="4">
        <v>1.0</v>
      </c>
      <c r="I22" s="42">
        <v>0.48989</v>
      </c>
      <c r="J22" s="45">
        <v>1.0</v>
      </c>
      <c r="K22" s="4" t="s">
        <v>606</v>
      </c>
    </row>
    <row r="23">
      <c r="A23" s="31"/>
      <c r="C23" s="40" t="str">
        <f t="shared" si="4"/>
        <v/>
      </c>
      <c r="D23" s="4" t="s">
        <v>120</v>
      </c>
      <c r="E23" s="4" t="s">
        <v>88</v>
      </c>
      <c r="F23" s="4" t="s">
        <v>48</v>
      </c>
      <c r="G23" s="4" t="s">
        <v>95</v>
      </c>
      <c r="H23" s="4">
        <v>3.0</v>
      </c>
      <c r="I23" s="42">
        <v>0.325413</v>
      </c>
      <c r="J23" s="4">
        <v>3.0</v>
      </c>
    </row>
    <row r="24">
      <c r="A24" s="33"/>
      <c r="B24" s="34"/>
      <c r="C24" s="46" t="str">
        <f t="shared" si="4"/>
        <v/>
      </c>
      <c r="D24" s="35" t="s">
        <v>76</v>
      </c>
      <c r="E24" s="35" t="s">
        <v>116</v>
      </c>
      <c r="F24" s="35" t="s">
        <v>31</v>
      </c>
      <c r="G24" s="35" t="s">
        <v>152</v>
      </c>
      <c r="H24" s="35">
        <v>4.0</v>
      </c>
      <c r="I24" s="42">
        <v>0.387124</v>
      </c>
      <c r="J24" s="21">
        <v>5.0</v>
      </c>
      <c r="K24" s="4" t="s">
        <v>610</v>
      </c>
    </row>
    <row r="25">
      <c r="A25" s="36"/>
    </row>
    <row r="26">
      <c r="A26" s="28" t="s">
        <v>227</v>
      </c>
      <c r="B26" s="29" t="str">
        <f>IFERROR(VLOOKUP(A26,Projects!$A$2:$C$7,2,FALSE),"")
</f>
        <v>Critical Web + Cloud Platform</v>
      </c>
      <c r="C26" s="29" t="str">
        <f t="shared" ref="C26:C30" si="5">IF(A26="","",A26&amp;"-TEAM"&amp;H26)
</f>
        <v>P5-TEAM5</v>
      </c>
      <c r="D26" s="30" t="s">
        <v>67</v>
      </c>
      <c r="E26" s="30" t="s">
        <v>87</v>
      </c>
      <c r="F26" s="30" t="s">
        <v>143</v>
      </c>
      <c r="G26" s="30" t="s">
        <v>66</v>
      </c>
      <c r="H26" s="30">
        <v>5.0</v>
      </c>
      <c r="I26" s="42">
        <v>0.128993</v>
      </c>
      <c r="J26" s="45">
        <v>5.0</v>
      </c>
      <c r="K26" s="4" t="s">
        <v>605</v>
      </c>
    </row>
    <row r="27">
      <c r="A27" s="31"/>
      <c r="B27" s="37" t="s">
        <v>389</v>
      </c>
      <c r="C27" s="40" t="str">
        <f t="shared" si="5"/>
        <v/>
      </c>
      <c r="D27" s="4" t="s">
        <v>120</v>
      </c>
      <c r="E27" s="4" t="s">
        <v>150</v>
      </c>
      <c r="F27" s="4" t="s">
        <v>127</v>
      </c>
      <c r="G27" s="4" t="s">
        <v>97</v>
      </c>
      <c r="H27" s="4">
        <v>2.0</v>
      </c>
      <c r="I27" s="42">
        <v>0.375186</v>
      </c>
      <c r="J27" s="45">
        <v>1.0</v>
      </c>
      <c r="K27" s="4" t="s">
        <v>606</v>
      </c>
    </row>
    <row r="28">
      <c r="A28" s="31"/>
      <c r="C28" s="40" t="str">
        <f t="shared" si="5"/>
        <v/>
      </c>
      <c r="D28" s="4" t="s">
        <v>101</v>
      </c>
      <c r="E28" s="4" t="s">
        <v>122</v>
      </c>
      <c r="F28" s="4" t="s">
        <v>109</v>
      </c>
      <c r="G28" s="4" t="s">
        <v>84</v>
      </c>
      <c r="H28" s="4">
        <v>3.0</v>
      </c>
      <c r="I28" s="42">
        <v>0.225689</v>
      </c>
      <c r="J28" s="4">
        <v>3.0</v>
      </c>
    </row>
    <row r="29">
      <c r="A29" s="31"/>
      <c r="C29" s="40" t="str">
        <f t="shared" si="5"/>
        <v/>
      </c>
      <c r="D29" s="4" t="s">
        <v>104</v>
      </c>
      <c r="E29" s="4" t="s">
        <v>26</v>
      </c>
      <c r="F29" s="4" t="s">
        <v>68</v>
      </c>
      <c r="G29" s="4" t="s">
        <v>134</v>
      </c>
      <c r="H29" s="4">
        <v>2.0</v>
      </c>
      <c r="I29" s="42">
        <v>0.164574</v>
      </c>
      <c r="J29" s="4">
        <v>1.0</v>
      </c>
    </row>
    <row r="30">
      <c r="A30" s="33"/>
      <c r="B30" s="34"/>
      <c r="C30" s="46" t="str">
        <f t="shared" si="5"/>
        <v/>
      </c>
      <c r="D30" s="35" t="s">
        <v>132</v>
      </c>
      <c r="E30" s="35" t="s">
        <v>111</v>
      </c>
      <c r="F30" s="35" t="s">
        <v>105</v>
      </c>
      <c r="G30" s="35" t="s">
        <v>100</v>
      </c>
      <c r="H30" s="35">
        <v>4.0</v>
      </c>
      <c r="I30" s="42">
        <v>0.195508</v>
      </c>
      <c r="J30" s="4">
        <v>4.0</v>
      </c>
    </row>
    <row r="31">
      <c r="A31" s="38"/>
      <c r="C31" s="46"/>
      <c r="D31" s="35"/>
      <c r="E31" s="35"/>
      <c r="F31" s="35"/>
      <c r="G31" s="35"/>
      <c r="H31" s="35"/>
    </row>
    <row r="32">
      <c r="A32" s="39" t="s">
        <v>234</v>
      </c>
      <c r="B32" s="40" t="str">
        <f>IFERROR(VLOOKUP(A32,Projects!$A$2:$C$8,2,FALSE),"")
</f>
        <v>Critical Embedded Hardware Platform</v>
      </c>
      <c r="C32" s="46" t="str">
        <f t="shared" ref="C32:C36" si="6">IF(A32="","",A32&amp;"-TEAM"&amp;H32)
</f>
        <v>P6-TEAM2</v>
      </c>
      <c r="D32" s="35" t="s">
        <v>169</v>
      </c>
      <c r="E32" s="35" t="s">
        <v>34</v>
      </c>
      <c r="F32" s="35" t="s">
        <v>173</v>
      </c>
      <c r="G32" s="35" t="s">
        <v>175</v>
      </c>
      <c r="H32" s="35">
        <v>2.0</v>
      </c>
      <c r="I32" s="42">
        <v>0.254395</v>
      </c>
      <c r="J32" s="4">
        <v>2.0</v>
      </c>
    </row>
    <row r="33">
      <c r="A33" s="31"/>
      <c r="B33" s="8" t="s">
        <v>420</v>
      </c>
      <c r="C33" s="46" t="str">
        <f t="shared" si="6"/>
        <v/>
      </c>
      <c r="D33" s="35" t="s">
        <v>137</v>
      </c>
      <c r="E33" s="35" t="s">
        <v>70</v>
      </c>
      <c r="F33" s="35" t="s">
        <v>26</v>
      </c>
      <c r="G33" s="35" t="s">
        <v>177</v>
      </c>
      <c r="H33" s="35">
        <v>1.0</v>
      </c>
      <c r="I33" s="42">
        <v>0.275664</v>
      </c>
      <c r="J33" s="45">
        <v>1.0</v>
      </c>
      <c r="K33" s="4" t="s">
        <v>606</v>
      </c>
    </row>
    <row r="34">
      <c r="A34" s="31"/>
      <c r="C34" s="46" t="str">
        <f t="shared" si="6"/>
        <v/>
      </c>
      <c r="D34" s="35" t="s">
        <v>160</v>
      </c>
      <c r="E34" s="35" t="s">
        <v>179</v>
      </c>
      <c r="F34" s="35" t="s">
        <v>123</v>
      </c>
      <c r="G34" s="35" t="s">
        <v>39</v>
      </c>
      <c r="H34" s="35">
        <v>2.0</v>
      </c>
      <c r="I34" s="42">
        <v>0.254395</v>
      </c>
      <c r="J34" s="4">
        <v>2.0</v>
      </c>
    </row>
    <row r="35">
      <c r="A35" s="31"/>
      <c r="C35" s="46" t="str">
        <f t="shared" si="6"/>
        <v/>
      </c>
      <c r="D35" s="35" t="s">
        <v>180</v>
      </c>
      <c r="E35" s="35" t="s">
        <v>168</v>
      </c>
      <c r="F35" s="35" t="s">
        <v>11</v>
      </c>
      <c r="G35" s="35" t="s">
        <v>182</v>
      </c>
      <c r="H35" s="35">
        <v>5.0</v>
      </c>
      <c r="I35" s="42">
        <v>0.15454</v>
      </c>
      <c r="J35" s="21">
        <v>4.0</v>
      </c>
      <c r="K35" s="4" t="s">
        <v>611</v>
      </c>
    </row>
    <row r="36">
      <c r="A36" s="33"/>
      <c r="C36" s="46" t="str">
        <f t="shared" si="6"/>
        <v/>
      </c>
      <c r="D36" s="35" t="s">
        <v>184</v>
      </c>
      <c r="E36" s="35" t="s">
        <v>185</v>
      </c>
      <c r="F36" s="35" t="s">
        <v>187</v>
      </c>
      <c r="G36" s="35" t="s">
        <v>161</v>
      </c>
      <c r="H36" s="35">
        <v>5.0</v>
      </c>
      <c r="I36" s="42">
        <v>0.122672</v>
      </c>
      <c r="J36" s="4">
        <v>4.0</v>
      </c>
    </row>
    <row r="37">
      <c r="I37" s="43"/>
    </row>
    <row r="38">
      <c r="I38" s="43"/>
    </row>
    <row r="39">
      <c r="I39" s="43"/>
    </row>
    <row r="40">
      <c r="I40" s="43"/>
    </row>
    <row r="41">
      <c r="I41" s="43"/>
    </row>
    <row r="42">
      <c r="I42" s="43"/>
    </row>
    <row r="43">
      <c r="I43" s="43"/>
    </row>
    <row r="44">
      <c r="I44" s="43"/>
    </row>
    <row r="45">
      <c r="I45" s="43"/>
    </row>
    <row r="46">
      <c r="I46" s="43"/>
    </row>
    <row r="47">
      <c r="I47" s="43"/>
    </row>
    <row r="48">
      <c r="I48" s="43"/>
    </row>
    <row r="49">
      <c r="I49" s="43"/>
    </row>
    <row r="50">
      <c r="I50" s="43"/>
    </row>
    <row r="51">
      <c r="I51" s="43"/>
    </row>
    <row r="52">
      <c r="I52" s="43"/>
    </row>
    <row r="53">
      <c r="I53" s="43"/>
    </row>
    <row r="54">
      <c r="I54" s="43"/>
    </row>
    <row r="55">
      <c r="I55" s="43"/>
    </row>
    <row r="56">
      <c r="I56" s="43"/>
    </row>
    <row r="57">
      <c r="I57" s="43"/>
    </row>
    <row r="58">
      <c r="I58" s="43"/>
    </row>
    <row r="59">
      <c r="I59" s="43"/>
    </row>
    <row r="60">
      <c r="I60" s="43"/>
    </row>
    <row r="61">
      <c r="I61" s="43"/>
    </row>
    <row r="62">
      <c r="I62" s="43"/>
    </row>
    <row r="63">
      <c r="I63" s="43"/>
    </row>
    <row r="64">
      <c r="I64" s="43"/>
    </row>
    <row r="65">
      <c r="I65" s="43"/>
    </row>
    <row r="66">
      <c r="I66" s="43"/>
    </row>
    <row r="67">
      <c r="I67" s="43"/>
    </row>
    <row r="68">
      <c r="I68" s="43"/>
    </row>
    <row r="69">
      <c r="I69" s="43"/>
    </row>
    <row r="70">
      <c r="I70" s="43"/>
    </row>
    <row r="71">
      <c r="I71" s="43"/>
    </row>
    <row r="72">
      <c r="I72" s="43"/>
    </row>
    <row r="73">
      <c r="I73" s="43"/>
    </row>
    <row r="74">
      <c r="I74" s="43"/>
    </row>
    <row r="75">
      <c r="I75" s="43"/>
    </row>
    <row r="76">
      <c r="I76" s="43"/>
    </row>
    <row r="77">
      <c r="I77" s="43"/>
    </row>
    <row r="78">
      <c r="I78" s="43"/>
    </row>
    <row r="79">
      <c r="I79" s="43"/>
    </row>
    <row r="80">
      <c r="I80" s="43"/>
    </row>
    <row r="81">
      <c r="I81" s="43"/>
    </row>
    <row r="82">
      <c r="I82" s="43"/>
    </row>
    <row r="83">
      <c r="I83" s="43"/>
    </row>
    <row r="84">
      <c r="I84" s="43"/>
    </row>
    <row r="85">
      <c r="I85" s="43"/>
    </row>
    <row r="86">
      <c r="I86" s="43"/>
    </row>
    <row r="87">
      <c r="I87" s="43"/>
    </row>
    <row r="88">
      <c r="I88" s="43"/>
    </row>
    <row r="89">
      <c r="I89" s="43"/>
    </row>
    <row r="90">
      <c r="I90" s="43"/>
    </row>
    <row r="91">
      <c r="I91" s="43"/>
    </row>
    <row r="92">
      <c r="I92" s="43"/>
    </row>
    <row r="93">
      <c r="I93" s="43"/>
    </row>
    <row r="94">
      <c r="I94" s="43"/>
    </row>
    <row r="95">
      <c r="I95" s="43"/>
    </row>
    <row r="96">
      <c r="I96" s="43"/>
    </row>
    <row r="97">
      <c r="I97" s="43"/>
    </row>
    <row r="98">
      <c r="I98" s="43"/>
    </row>
    <row r="99">
      <c r="I99" s="43"/>
    </row>
    <row r="100">
      <c r="I100" s="43"/>
    </row>
    <row r="101">
      <c r="I101" s="43"/>
    </row>
    <row r="102">
      <c r="I102" s="43"/>
    </row>
    <row r="103">
      <c r="I103" s="43"/>
    </row>
    <row r="104">
      <c r="I104" s="43"/>
    </row>
    <row r="105">
      <c r="I105" s="43"/>
    </row>
    <row r="106">
      <c r="I106" s="43"/>
    </row>
    <row r="107">
      <c r="I107" s="43"/>
    </row>
    <row r="108">
      <c r="I108" s="43"/>
    </row>
    <row r="109">
      <c r="I109" s="43"/>
    </row>
    <row r="110">
      <c r="I110" s="43"/>
    </row>
    <row r="111">
      <c r="I111" s="43"/>
    </row>
    <row r="112">
      <c r="I112" s="43"/>
    </row>
    <row r="113">
      <c r="I113" s="43"/>
    </row>
    <row r="114">
      <c r="I114" s="43"/>
    </row>
    <row r="115">
      <c r="I115" s="43"/>
    </row>
    <row r="116">
      <c r="I116" s="43"/>
    </row>
    <row r="117">
      <c r="I117" s="43"/>
    </row>
    <row r="118">
      <c r="I118" s="43"/>
    </row>
    <row r="119">
      <c r="I119" s="43"/>
    </row>
    <row r="120">
      <c r="I120" s="43"/>
    </row>
    <row r="121">
      <c r="I121" s="43"/>
    </row>
    <row r="122">
      <c r="I122" s="43"/>
    </row>
    <row r="123">
      <c r="I123" s="43"/>
    </row>
    <row r="124">
      <c r="I124" s="43"/>
    </row>
    <row r="125">
      <c r="I125" s="43"/>
    </row>
    <row r="126">
      <c r="I126" s="43"/>
    </row>
    <row r="127">
      <c r="I127" s="43"/>
    </row>
    <row r="128">
      <c r="I128" s="43"/>
    </row>
    <row r="129">
      <c r="I129" s="43"/>
    </row>
    <row r="130">
      <c r="I130" s="43"/>
    </row>
    <row r="131">
      <c r="I131" s="43"/>
    </row>
    <row r="132">
      <c r="I132" s="43"/>
    </row>
    <row r="133">
      <c r="I133" s="43"/>
    </row>
    <row r="134">
      <c r="I134" s="43"/>
    </row>
    <row r="135">
      <c r="I135" s="43"/>
    </row>
    <row r="136">
      <c r="I136" s="43"/>
    </row>
    <row r="137">
      <c r="I137" s="43"/>
    </row>
    <row r="138">
      <c r="I138" s="43"/>
    </row>
    <row r="139">
      <c r="I139" s="43"/>
    </row>
    <row r="140">
      <c r="I140" s="43"/>
    </row>
    <row r="141">
      <c r="I141" s="43"/>
    </row>
    <row r="142">
      <c r="I142" s="43"/>
    </row>
    <row r="143">
      <c r="I143" s="43"/>
    </row>
    <row r="144">
      <c r="I144" s="43"/>
    </row>
    <row r="145">
      <c r="I145" s="43"/>
    </row>
    <row r="146">
      <c r="I146" s="43"/>
    </row>
    <row r="147">
      <c r="I147" s="43"/>
    </row>
    <row r="148">
      <c r="I148" s="43"/>
    </row>
    <row r="149">
      <c r="I149" s="43"/>
    </row>
    <row r="150">
      <c r="I150" s="43"/>
    </row>
    <row r="151">
      <c r="I151" s="43"/>
    </row>
    <row r="152">
      <c r="I152" s="43"/>
    </row>
    <row r="153">
      <c r="I153" s="43"/>
    </row>
    <row r="154">
      <c r="I154" s="43"/>
    </row>
    <row r="155">
      <c r="I155" s="43"/>
    </row>
    <row r="156">
      <c r="I156" s="43"/>
    </row>
    <row r="157">
      <c r="I157" s="43"/>
    </row>
    <row r="158">
      <c r="I158" s="43"/>
    </row>
    <row r="159">
      <c r="I159" s="43"/>
    </row>
    <row r="160">
      <c r="I160" s="43"/>
    </row>
    <row r="161">
      <c r="I161" s="43"/>
    </row>
    <row r="162">
      <c r="I162" s="43"/>
    </row>
    <row r="163">
      <c r="I163" s="43"/>
    </row>
    <row r="164">
      <c r="I164" s="43"/>
    </row>
    <row r="165">
      <c r="I165" s="43"/>
    </row>
    <row r="166">
      <c r="I166" s="43"/>
    </row>
    <row r="167">
      <c r="I167" s="43"/>
    </row>
    <row r="168">
      <c r="I168" s="43"/>
    </row>
    <row r="169">
      <c r="I169" s="43"/>
    </row>
    <row r="170">
      <c r="I170" s="43"/>
    </row>
    <row r="171">
      <c r="I171" s="43"/>
    </row>
    <row r="172">
      <c r="I172" s="43"/>
    </row>
    <row r="173">
      <c r="I173" s="43"/>
    </row>
    <row r="174">
      <c r="I174" s="43"/>
    </row>
    <row r="175">
      <c r="I175" s="43"/>
    </row>
    <row r="176">
      <c r="I176" s="43"/>
    </row>
    <row r="177">
      <c r="I177" s="43"/>
    </row>
    <row r="178">
      <c r="I178" s="43"/>
    </row>
    <row r="179">
      <c r="I179" s="43"/>
    </row>
    <row r="180">
      <c r="I180" s="43"/>
    </row>
    <row r="181">
      <c r="I181" s="43"/>
    </row>
    <row r="182">
      <c r="I182" s="43"/>
    </row>
    <row r="183">
      <c r="I183" s="43"/>
    </row>
    <row r="184">
      <c r="I184" s="43"/>
    </row>
    <row r="185">
      <c r="I185" s="43"/>
    </row>
    <row r="186">
      <c r="I186" s="43"/>
    </row>
    <row r="187">
      <c r="I187" s="43"/>
    </row>
    <row r="188">
      <c r="I188" s="43"/>
    </row>
    <row r="189">
      <c r="I189" s="43"/>
    </row>
    <row r="190">
      <c r="I190" s="43"/>
    </row>
    <row r="191">
      <c r="I191" s="43"/>
    </row>
    <row r="192">
      <c r="I192" s="43"/>
    </row>
    <row r="193">
      <c r="I193" s="43"/>
    </row>
    <row r="194">
      <c r="I194" s="43"/>
    </row>
    <row r="195">
      <c r="I195" s="43"/>
    </row>
    <row r="196">
      <c r="I196" s="43"/>
    </row>
    <row r="197">
      <c r="I197" s="43"/>
    </row>
    <row r="198">
      <c r="I198" s="43"/>
    </row>
    <row r="199">
      <c r="I199" s="43"/>
    </row>
    <row r="200">
      <c r="I200" s="43"/>
    </row>
    <row r="201">
      <c r="I201" s="43"/>
    </row>
    <row r="202">
      <c r="I202" s="43"/>
    </row>
    <row r="203">
      <c r="I203" s="43"/>
    </row>
    <row r="204">
      <c r="I204" s="43"/>
    </row>
    <row r="205">
      <c r="I205" s="43"/>
    </row>
    <row r="206">
      <c r="I206" s="43"/>
    </row>
    <row r="207">
      <c r="I207" s="43"/>
    </row>
    <row r="208">
      <c r="I208" s="43"/>
    </row>
    <row r="209">
      <c r="I209" s="43"/>
    </row>
    <row r="210">
      <c r="I210" s="43"/>
    </row>
    <row r="211">
      <c r="I211" s="43"/>
    </row>
    <row r="212">
      <c r="I212" s="43"/>
    </row>
    <row r="213">
      <c r="I213" s="43"/>
    </row>
    <row r="214">
      <c r="I214" s="43"/>
    </row>
    <row r="215">
      <c r="I215" s="43"/>
    </row>
    <row r="216">
      <c r="I216" s="43"/>
    </row>
    <row r="217">
      <c r="I217" s="43"/>
    </row>
    <row r="218">
      <c r="I218" s="43"/>
    </row>
    <row r="219">
      <c r="I219" s="43"/>
    </row>
    <row r="220">
      <c r="I220" s="43"/>
    </row>
    <row r="221">
      <c r="I221" s="43"/>
    </row>
    <row r="222">
      <c r="I222" s="43"/>
    </row>
    <row r="223">
      <c r="I223" s="43"/>
    </row>
    <row r="224">
      <c r="I224" s="43"/>
    </row>
    <row r="225">
      <c r="I225" s="43"/>
    </row>
    <row r="226">
      <c r="I226" s="43"/>
    </row>
    <row r="227">
      <c r="I227" s="43"/>
    </row>
    <row r="228">
      <c r="I228" s="43"/>
    </row>
    <row r="229">
      <c r="I229" s="43"/>
    </row>
    <row r="230">
      <c r="I230" s="43"/>
    </row>
    <row r="231">
      <c r="I231" s="43"/>
    </row>
    <row r="232">
      <c r="I232" s="43"/>
    </row>
    <row r="233">
      <c r="I233" s="43"/>
    </row>
    <row r="234">
      <c r="I234" s="43"/>
    </row>
    <row r="235">
      <c r="I235" s="43"/>
    </row>
    <row r="236">
      <c r="I236" s="43"/>
    </row>
    <row r="237">
      <c r="I237" s="43"/>
    </row>
    <row r="238">
      <c r="I238" s="43"/>
    </row>
    <row r="239">
      <c r="I239" s="43"/>
    </row>
    <row r="240">
      <c r="I240" s="43"/>
    </row>
    <row r="241">
      <c r="I241" s="43"/>
    </row>
    <row r="242">
      <c r="I242" s="43"/>
    </row>
    <row r="243">
      <c r="I243" s="43"/>
    </row>
    <row r="244">
      <c r="I244" s="43"/>
    </row>
    <row r="245">
      <c r="I245" s="43"/>
    </row>
    <row r="246">
      <c r="I246" s="43"/>
    </row>
    <row r="247">
      <c r="I247" s="43"/>
    </row>
    <row r="248">
      <c r="I248" s="43"/>
    </row>
    <row r="249">
      <c r="I249" s="43"/>
    </row>
    <row r="250">
      <c r="I250" s="43"/>
    </row>
    <row r="251">
      <c r="I251" s="43"/>
    </row>
    <row r="252">
      <c r="I252" s="43"/>
    </row>
    <row r="253">
      <c r="I253" s="43"/>
    </row>
    <row r="254">
      <c r="I254" s="43"/>
    </row>
    <row r="255">
      <c r="I255" s="43"/>
    </row>
    <row r="256">
      <c r="I256" s="43"/>
    </row>
    <row r="257">
      <c r="I257" s="43"/>
    </row>
    <row r="258">
      <c r="I258" s="43"/>
    </row>
    <row r="259">
      <c r="I259" s="43"/>
    </row>
    <row r="260">
      <c r="I260" s="43"/>
    </row>
    <row r="261">
      <c r="I261" s="43"/>
    </row>
    <row r="262">
      <c r="I262" s="43"/>
    </row>
    <row r="263">
      <c r="I263" s="43"/>
    </row>
    <row r="264">
      <c r="I264" s="43"/>
    </row>
    <row r="265">
      <c r="I265" s="43"/>
    </row>
    <row r="266">
      <c r="I266" s="43"/>
    </row>
    <row r="267">
      <c r="I267" s="43"/>
    </row>
    <row r="268">
      <c r="I268" s="43"/>
    </row>
    <row r="269">
      <c r="I269" s="43"/>
    </row>
    <row r="270">
      <c r="I270" s="43"/>
    </row>
    <row r="271">
      <c r="I271" s="43"/>
    </row>
    <row r="272">
      <c r="I272" s="43"/>
    </row>
    <row r="273">
      <c r="I273" s="43"/>
    </row>
    <row r="274">
      <c r="I274" s="43"/>
    </row>
    <row r="275">
      <c r="I275" s="43"/>
    </row>
    <row r="276">
      <c r="I276" s="43"/>
    </row>
    <row r="277">
      <c r="I277" s="43"/>
    </row>
    <row r="278">
      <c r="I278" s="43"/>
    </row>
    <row r="279">
      <c r="I279" s="43"/>
    </row>
    <row r="280">
      <c r="I280" s="43"/>
    </row>
    <row r="281">
      <c r="I281" s="43"/>
    </row>
    <row r="282">
      <c r="I282" s="43"/>
    </row>
    <row r="283">
      <c r="I283" s="43"/>
    </row>
    <row r="284">
      <c r="I284" s="43"/>
    </row>
    <row r="285">
      <c r="I285" s="43"/>
    </row>
    <row r="286">
      <c r="I286" s="43"/>
    </row>
    <row r="287">
      <c r="I287" s="43"/>
    </row>
    <row r="288">
      <c r="I288" s="43"/>
    </row>
    <row r="289">
      <c r="I289" s="43"/>
    </row>
    <row r="290">
      <c r="I290" s="43"/>
    </row>
    <row r="291">
      <c r="I291" s="43"/>
    </row>
    <row r="292">
      <c r="I292" s="43"/>
    </row>
    <row r="293">
      <c r="I293" s="43"/>
    </row>
    <row r="294">
      <c r="I294" s="43"/>
    </row>
    <row r="295">
      <c r="I295" s="43"/>
    </row>
    <row r="296">
      <c r="I296" s="43"/>
    </row>
    <row r="297">
      <c r="I297" s="43"/>
    </row>
    <row r="298">
      <c r="I298" s="43"/>
    </row>
    <row r="299">
      <c r="I299" s="43"/>
    </row>
    <row r="300">
      <c r="I300" s="43"/>
    </row>
    <row r="301">
      <c r="I301" s="43"/>
    </row>
    <row r="302">
      <c r="I302" s="43"/>
    </row>
    <row r="303">
      <c r="I303" s="43"/>
    </row>
    <row r="304">
      <c r="I304" s="43"/>
    </row>
    <row r="305">
      <c r="I305" s="43"/>
    </row>
    <row r="306">
      <c r="I306" s="43"/>
    </row>
    <row r="307">
      <c r="I307" s="43"/>
    </row>
    <row r="308">
      <c r="I308" s="43"/>
    </row>
    <row r="309">
      <c r="I309" s="43"/>
    </row>
    <row r="310">
      <c r="I310" s="43"/>
    </row>
    <row r="311">
      <c r="I311" s="43"/>
    </row>
    <row r="312">
      <c r="I312" s="43"/>
    </row>
    <row r="313">
      <c r="I313" s="43"/>
    </row>
    <row r="314">
      <c r="I314" s="43"/>
    </row>
    <row r="315">
      <c r="I315" s="43"/>
    </row>
    <row r="316">
      <c r="I316" s="43"/>
    </row>
    <row r="317">
      <c r="I317" s="43"/>
    </row>
    <row r="318">
      <c r="I318" s="43"/>
    </row>
    <row r="319">
      <c r="I319" s="43"/>
    </row>
    <row r="320">
      <c r="I320" s="43"/>
    </row>
    <row r="321">
      <c r="I321" s="43"/>
    </row>
    <row r="322">
      <c r="I322" s="43"/>
    </row>
    <row r="323">
      <c r="I323" s="43"/>
    </row>
    <row r="324">
      <c r="I324" s="43"/>
    </row>
    <row r="325">
      <c r="I325" s="43"/>
    </row>
    <row r="326">
      <c r="I326" s="43"/>
    </row>
    <row r="327">
      <c r="I327" s="43"/>
    </row>
    <row r="328">
      <c r="I328" s="43"/>
    </row>
    <row r="329">
      <c r="I329" s="43"/>
    </row>
    <row r="330">
      <c r="I330" s="43"/>
    </row>
    <row r="331">
      <c r="I331" s="43"/>
    </row>
    <row r="332">
      <c r="I332" s="43"/>
    </row>
    <row r="333">
      <c r="I333" s="43"/>
    </row>
    <row r="334">
      <c r="I334" s="43"/>
    </row>
    <row r="335">
      <c r="I335" s="43"/>
    </row>
    <row r="336">
      <c r="I336" s="43"/>
    </row>
    <row r="337">
      <c r="I337" s="43"/>
    </row>
    <row r="338">
      <c r="I338" s="43"/>
    </row>
    <row r="339">
      <c r="I339" s="43"/>
    </row>
    <row r="340">
      <c r="I340" s="43"/>
    </row>
    <row r="341">
      <c r="I341" s="43"/>
    </row>
    <row r="342">
      <c r="I342" s="43"/>
    </row>
    <row r="343">
      <c r="I343" s="43"/>
    </row>
    <row r="344">
      <c r="I344" s="43"/>
    </row>
    <row r="345">
      <c r="I345" s="43"/>
    </row>
    <row r="346">
      <c r="I346" s="43"/>
    </row>
    <row r="347">
      <c r="I347" s="43"/>
    </row>
    <row r="348">
      <c r="I348" s="43"/>
    </row>
    <row r="349">
      <c r="I349" s="43"/>
    </row>
    <row r="350">
      <c r="I350" s="43"/>
    </row>
    <row r="351">
      <c r="I351" s="43"/>
    </row>
    <row r="352">
      <c r="I352" s="43"/>
    </row>
    <row r="353">
      <c r="I353" s="43"/>
    </row>
    <row r="354">
      <c r="I354" s="43"/>
    </row>
    <row r="355">
      <c r="I355" s="43"/>
    </row>
    <row r="356">
      <c r="I356" s="43"/>
    </row>
    <row r="357">
      <c r="I357" s="43"/>
    </row>
    <row r="358">
      <c r="I358" s="43"/>
    </row>
    <row r="359">
      <c r="I359" s="43"/>
    </row>
    <row r="360">
      <c r="I360" s="43"/>
    </row>
    <row r="361">
      <c r="I361" s="43"/>
    </row>
    <row r="362">
      <c r="I362" s="43"/>
    </row>
    <row r="363">
      <c r="I363" s="43"/>
    </row>
    <row r="364">
      <c r="I364" s="43"/>
    </row>
    <row r="365">
      <c r="I365" s="43"/>
    </row>
    <row r="366">
      <c r="I366" s="43"/>
    </row>
    <row r="367">
      <c r="I367" s="43"/>
    </row>
    <row r="368">
      <c r="I368" s="43"/>
    </row>
    <row r="369">
      <c r="I369" s="43"/>
    </row>
    <row r="370">
      <c r="I370" s="43"/>
    </row>
    <row r="371">
      <c r="I371" s="43"/>
    </row>
    <row r="372">
      <c r="I372" s="43"/>
    </row>
    <row r="373">
      <c r="I373" s="43"/>
    </row>
    <row r="374">
      <c r="I374" s="43"/>
    </row>
    <row r="375">
      <c r="I375" s="43"/>
    </row>
    <row r="376">
      <c r="I376" s="43"/>
    </row>
    <row r="377">
      <c r="I377" s="43"/>
    </row>
    <row r="378">
      <c r="I378" s="43"/>
    </row>
    <row r="379">
      <c r="I379" s="43"/>
    </row>
    <row r="380">
      <c r="I380" s="43"/>
    </row>
    <row r="381">
      <c r="I381" s="43"/>
    </row>
    <row r="382">
      <c r="I382" s="43"/>
    </row>
    <row r="383">
      <c r="I383" s="43"/>
    </row>
    <row r="384">
      <c r="I384" s="43"/>
    </row>
    <row r="385">
      <c r="I385" s="43"/>
    </row>
    <row r="386">
      <c r="I386" s="43"/>
    </row>
    <row r="387">
      <c r="I387" s="43"/>
    </row>
    <row r="388">
      <c r="I388" s="43"/>
    </row>
    <row r="389">
      <c r="I389" s="43"/>
    </row>
    <row r="390">
      <c r="I390" s="43"/>
    </row>
    <row r="391">
      <c r="I391" s="43"/>
    </row>
    <row r="392">
      <c r="I392" s="43"/>
    </row>
    <row r="393">
      <c r="I393" s="43"/>
    </row>
    <row r="394">
      <c r="I394" s="43"/>
    </row>
    <row r="395">
      <c r="I395" s="43"/>
    </row>
    <row r="396">
      <c r="I396" s="43"/>
    </row>
    <row r="397">
      <c r="I397" s="43"/>
    </row>
    <row r="398">
      <c r="I398" s="43"/>
    </row>
    <row r="399">
      <c r="I399" s="43"/>
    </row>
    <row r="400">
      <c r="I400" s="43"/>
    </row>
    <row r="401">
      <c r="I401" s="43"/>
    </row>
    <row r="402">
      <c r="I402" s="43"/>
    </row>
    <row r="403">
      <c r="I403" s="43"/>
    </row>
    <row r="404">
      <c r="I404" s="43"/>
    </row>
    <row r="405">
      <c r="I405" s="43"/>
    </row>
    <row r="406">
      <c r="I406" s="43"/>
    </row>
    <row r="407">
      <c r="I407" s="43"/>
    </row>
    <row r="408">
      <c r="I408" s="43"/>
    </row>
    <row r="409">
      <c r="I409" s="43"/>
    </row>
    <row r="410">
      <c r="I410" s="43"/>
    </row>
    <row r="411">
      <c r="I411" s="43"/>
    </row>
    <row r="412">
      <c r="I412" s="43"/>
    </row>
    <row r="413">
      <c r="I413" s="43"/>
    </row>
    <row r="414">
      <c r="I414" s="43"/>
    </row>
    <row r="415">
      <c r="I415" s="43"/>
    </row>
    <row r="416">
      <c r="I416" s="43"/>
    </row>
    <row r="417">
      <c r="I417" s="43"/>
    </row>
    <row r="418">
      <c r="I418" s="43"/>
    </row>
    <row r="419">
      <c r="I419" s="43"/>
    </row>
    <row r="420">
      <c r="I420" s="43"/>
    </row>
    <row r="421">
      <c r="I421" s="43"/>
    </row>
    <row r="422">
      <c r="I422" s="43"/>
    </row>
    <row r="423">
      <c r="I423" s="43"/>
    </row>
    <row r="424">
      <c r="I424" s="43"/>
    </row>
    <row r="425">
      <c r="I425" s="43"/>
    </row>
    <row r="426">
      <c r="I426" s="43"/>
    </row>
    <row r="427">
      <c r="I427" s="43"/>
    </row>
    <row r="428">
      <c r="I428" s="43"/>
    </row>
    <row r="429">
      <c r="I429" s="43"/>
    </row>
    <row r="430">
      <c r="I430" s="43"/>
    </row>
    <row r="431">
      <c r="I431" s="43"/>
    </row>
    <row r="432">
      <c r="I432" s="43"/>
    </row>
    <row r="433">
      <c r="I433" s="43"/>
    </row>
    <row r="434">
      <c r="I434" s="43"/>
    </row>
    <row r="435">
      <c r="I435" s="43"/>
    </row>
    <row r="436">
      <c r="I436" s="43"/>
    </row>
    <row r="437">
      <c r="I437" s="43"/>
    </row>
    <row r="438">
      <c r="I438" s="43"/>
    </row>
    <row r="439">
      <c r="I439" s="43"/>
    </row>
    <row r="440">
      <c r="I440" s="43"/>
    </row>
    <row r="441">
      <c r="I441" s="43"/>
    </row>
    <row r="442">
      <c r="I442" s="43"/>
    </row>
    <row r="443">
      <c r="I443" s="43"/>
    </row>
    <row r="444">
      <c r="I444" s="43"/>
    </row>
    <row r="445">
      <c r="I445" s="43"/>
    </row>
    <row r="446">
      <c r="I446" s="43"/>
    </row>
    <row r="447">
      <c r="I447" s="43"/>
    </row>
    <row r="448">
      <c r="I448" s="43"/>
    </row>
    <row r="449">
      <c r="I449" s="43"/>
    </row>
    <row r="450">
      <c r="I450" s="43"/>
    </row>
    <row r="451">
      <c r="I451" s="43"/>
    </row>
    <row r="452">
      <c r="I452" s="43"/>
    </row>
    <row r="453">
      <c r="I453" s="43"/>
    </row>
    <row r="454">
      <c r="I454" s="43"/>
    </row>
    <row r="455">
      <c r="I455" s="43"/>
    </row>
    <row r="456">
      <c r="I456" s="43"/>
    </row>
    <row r="457">
      <c r="I457" s="43"/>
    </row>
    <row r="458">
      <c r="I458" s="43"/>
    </row>
    <row r="459">
      <c r="I459" s="43"/>
    </row>
    <row r="460">
      <c r="I460" s="43"/>
    </row>
    <row r="461">
      <c r="I461" s="43"/>
    </row>
    <row r="462">
      <c r="I462" s="43"/>
    </row>
    <row r="463">
      <c r="I463" s="43"/>
    </row>
    <row r="464">
      <c r="I464" s="43"/>
    </row>
    <row r="465">
      <c r="I465" s="43"/>
    </row>
    <row r="466">
      <c r="I466" s="43"/>
    </row>
    <row r="467">
      <c r="I467" s="43"/>
    </row>
    <row r="468">
      <c r="I468" s="43"/>
    </row>
    <row r="469">
      <c r="I469" s="43"/>
    </row>
    <row r="470">
      <c r="I470" s="43"/>
    </row>
    <row r="471">
      <c r="I471" s="43"/>
    </row>
    <row r="472">
      <c r="I472" s="43"/>
    </row>
    <row r="473">
      <c r="I473" s="43"/>
    </row>
    <row r="474">
      <c r="I474" s="43"/>
    </row>
    <row r="475">
      <c r="I475" s="43"/>
    </row>
    <row r="476">
      <c r="I476" s="43"/>
    </row>
    <row r="477">
      <c r="I477" s="43"/>
    </row>
    <row r="478">
      <c r="I478" s="43"/>
    </row>
    <row r="479">
      <c r="I479" s="43"/>
    </row>
    <row r="480">
      <c r="I480" s="43"/>
    </row>
    <row r="481">
      <c r="I481" s="43"/>
    </row>
    <row r="482">
      <c r="I482" s="43"/>
    </row>
    <row r="483">
      <c r="I483" s="43"/>
    </row>
    <row r="484">
      <c r="I484" s="43"/>
    </row>
    <row r="485">
      <c r="I485" s="43"/>
    </row>
    <row r="486">
      <c r="I486" s="43"/>
    </row>
    <row r="487">
      <c r="I487" s="43"/>
    </row>
    <row r="488">
      <c r="I488" s="43"/>
    </row>
    <row r="489">
      <c r="I489" s="43"/>
    </row>
    <row r="490">
      <c r="I490" s="43"/>
    </row>
    <row r="491">
      <c r="I491" s="43"/>
    </row>
    <row r="492">
      <c r="I492" s="43"/>
    </row>
    <row r="493">
      <c r="I493" s="43"/>
    </row>
    <row r="494">
      <c r="I494" s="43"/>
    </row>
    <row r="495">
      <c r="I495" s="43"/>
    </row>
    <row r="496">
      <c r="I496" s="43"/>
    </row>
    <row r="497">
      <c r="I497" s="43"/>
    </row>
    <row r="498">
      <c r="I498" s="43"/>
    </row>
    <row r="499">
      <c r="I499" s="43"/>
    </row>
    <row r="500">
      <c r="I500" s="43"/>
    </row>
    <row r="501">
      <c r="I501" s="43"/>
    </row>
    <row r="502">
      <c r="I502" s="43"/>
    </row>
    <row r="503">
      <c r="I503" s="43"/>
    </row>
    <row r="504">
      <c r="I504" s="43"/>
    </row>
    <row r="505">
      <c r="I505" s="43"/>
    </row>
    <row r="506">
      <c r="I506" s="43"/>
    </row>
    <row r="507">
      <c r="I507" s="43"/>
    </row>
    <row r="508">
      <c r="I508" s="43"/>
    </row>
    <row r="509">
      <c r="I509" s="43"/>
    </row>
    <row r="510">
      <c r="I510" s="43"/>
    </row>
    <row r="511">
      <c r="I511" s="43"/>
    </row>
    <row r="512">
      <c r="I512" s="43"/>
    </row>
    <row r="513">
      <c r="I513" s="43"/>
    </row>
    <row r="514">
      <c r="I514" s="43"/>
    </row>
    <row r="515">
      <c r="I515" s="43"/>
    </row>
    <row r="516">
      <c r="I516" s="43"/>
    </row>
    <row r="517">
      <c r="I517" s="43"/>
    </row>
    <row r="518">
      <c r="I518" s="43"/>
    </row>
    <row r="519">
      <c r="I519" s="43"/>
    </row>
    <row r="520">
      <c r="I520" s="43"/>
    </row>
    <row r="521">
      <c r="I521" s="43"/>
    </row>
    <row r="522">
      <c r="I522" s="43"/>
    </row>
    <row r="523">
      <c r="I523" s="43"/>
    </row>
    <row r="524">
      <c r="I524" s="43"/>
    </row>
    <row r="525">
      <c r="I525" s="43"/>
    </row>
    <row r="526">
      <c r="I526" s="43"/>
    </row>
    <row r="527">
      <c r="I527" s="43"/>
    </row>
    <row r="528">
      <c r="I528" s="43"/>
    </row>
    <row r="529">
      <c r="I529" s="43"/>
    </row>
    <row r="530">
      <c r="I530" s="43"/>
    </row>
    <row r="531">
      <c r="I531" s="43"/>
    </row>
    <row r="532">
      <c r="I532" s="43"/>
    </row>
    <row r="533">
      <c r="I533" s="43"/>
    </row>
    <row r="534">
      <c r="I534" s="43"/>
    </row>
    <row r="535">
      <c r="I535" s="43"/>
    </row>
    <row r="536">
      <c r="I536" s="43"/>
    </row>
    <row r="537">
      <c r="I537" s="43"/>
    </row>
    <row r="538">
      <c r="I538" s="43"/>
    </row>
    <row r="539">
      <c r="I539" s="43"/>
    </row>
    <row r="540">
      <c r="I540" s="43"/>
    </row>
    <row r="541">
      <c r="I541" s="43"/>
    </row>
    <row r="542">
      <c r="I542" s="43"/>
    </row>
    <row r="543">
      <c r="I543" s="43"/>
    </row>
    <row r="544">
      <c r="I544" s="43"/>
    </row>
    <row r="545">
      <c r="I545" s="43"/>
    </row>
    <row r="546">
      <c r="I546" s="43"/>
    </row>
    <row r="547">
      <c r="I547" s="43"/>
    </row>
    <row r="548">
      <c r="I548" s="43"/>
    </row>
    <row r="549">
      <c r="I549" s="43"/>
    </row>
    <row r="550">
      <c r="I550" s="43"/>
    </row>
    <row r="551">
      <c r="I551" s="43"/>
    </row>
    <row r="552">
      <c r="I552" s="43"/>
    </row>
    <row r="553">
      <c r="I553" s="43"/>
    </row>
    <row r="554">
      <c r="I554" s="43"/>
    </row>
    <row r="555">
      <c r="I555" s="43"/>
    </row>
    <row r="556">
      <c r="I556" s="43"/>
    </row>
    <row r="557">
      <c r="I557" s="43"/>
    </row>
    <row r="558">
      <c r="I558" s="43"/>
    </row>
    <row r="559">
      <c r="I559" s="43"/>
    </row>
    <row r="560">
      <c r="I560" s="43"/>
    </row>
    <row r="561">
      <c r="I561" s="43"/>
    </row>
    <row r="562">
      <c r="I562" s="43"/>
    </row>
    <row r="563">
      <c r="I563" s="43"/>
    </row>
    <row r="564">
      <c r="I564" s="43"/>
    </row>
    <row r="565">
      <c r="I565" s="43"/>
    </row>
    <row r="566">
      <c r="I566" s="43"/>
    </row>
    <row r="567">
      <c r="I567" s="43"/>
    </row>
    <row r="568">
      <c r="I568" s="43"/>
    </row>
    <row r="569">
      <c r="I569" s="43"/>
    </row>
    <row r="570">
      <c r="I570" s="43"/>
    </row>
    <row r="571">
      <c r="I571" s="43"/>
    </row>
    <row r="572">
      <c r="I572" s="43"/>
    </row>
    <row r="573">
      <c r="I573" s="43"/>
    </row>
    <row r="574">
      <c r="I574" s="43"/>
    </row>
    <row r="575">
      <c r="I575" s="43"/>
    </row>
    <row r="576">
      <c r="I576" s="43"/>
    </row>
    <row r="577">
      <c r="I577" s="43"/>
    </row>
    <row r="578">
      <c r="I578" s="43"/>
    </row>
    <row r="579">
      <c r="I579" s="43"/>
    </row>
    <row r="580">
      <c r="I580" s="43"/>
    </row>
    <row r="581">
      <c r="I581" s="43"/>
    </row>
    <row r="582">
      <c r="I582" s="43"/>
    </row>
    <row r="583">
      <c r="I583" s="43"/>
    </row>
    <row r="584">
      <c r="I584" s="43"/>
    </row>
    <row r="585">
      <c r="I585" s="43"/>
    </row>
    <row r="586">
      <c r="I586" s="43"/>
    </row>
    <row r="587">
      <c r="I587" s="43"/>
    </row>
    <row r="588">
      <c r="I588" s="43"/>
    </row>
    <row r="589">
      <c r="I589" s="43"/>
    </row>
    <row r="590">
      <c r="I590" s="43"/>
    </row>
    <row r="591">
      <c r="I591" s="43"/>
    </row>
    <row r="592">
      <c r="I592" s="43"/>
    </row>
    <row r="593">
      <c r="I593" s="43"/>
    </row>
    <row r="594">
      <c r="I594" s="43"/>
    </row>
    <row r="595">
      <c r="I595" s="43"/>
    </row>
    <row r="596">
      <c r="I596" s="43"/>
    </row>
    <row r="597">
      <c r="I597" s="43"/>
    </row>
    <row r="598">
      <c r="I598" s="43"/>
    </row>
    <row r="599">
      <c r="I599" s="43"/>
    </row>
    <row r="600">
      <c r="I600" s="43"/>
    </row>
    <row r="601">
      <c r="I601" s="43"/>
    </row>
    <row r="602">
      <c r="I602" s="43"/>
    </row>
    <row r="603">
      <c r="I603" s="43"/>
    </row>
    <row r="604">
      <c r="I604" s="43"/>
    </row>
    <row r="605">
      <c r="I605" s="43"/>
    </row>
    <row r="606">
      <c r="I606" s="43"/>
    </row>
    <row r="607">
      <c r="I607" s="43"/>
    </row>
    <row r="608">
      <c r="I608" s="43"/>
    </row>
    <row r="609">
      <c r="I609" s="43"/>
    </row>
    <row r="610">
      <c r="I610" s="43"/>
    </row>
    <row r="611">
      <c r="I611" s="43"/>
    </row>
    <row r="612">
      <c r="I612" s="43"/>
    </row>
    <row r="613">
      <c r="I613" s="43"/>
    </row>
    <row r="614">
      <c r="I614" s="43"/>
    </row>
    <row r="615">
      <c r="I615" s="43"/>
    </row>
    <row r="616">
      <c r="I616" s="43"/>
    </row>
    <row r="617">
      <c r="I617" s="43"/>
    </row>
    <row r="618">
      <c r="I618" s="43"/>
    </row>
    <row r="619">
      <c r="I619" s="43"/>
    </row>
    <row r="620">
      <c r="I620" s="43"/>
    </row>
    <row r="621">
      <c r="I621" s="43"/>
    </row>
    <row r="622">
      <c r="I622" s="43"/>
    </row>
    <row r="623">
      <c r="I623" s="43"/>
    </row>
    <row r="624">
      <c r="I624" s="43"/>
    </row>
    <row r="625">
      <c r="I625" s="43"/>
    </row>
    <row r="626">
      <c r="I626" s="43"/>
    </row>
    <row r="627">
      <c r="I627" s="43"/>
    </row>
    <row r="628">
      <c r="I628" s="43"/>
    </row>
    <row r="629">
      <c r="I629" s="43"/>
    </row>
    <row r="630">
      <c r="I630" s="43"/>
    </row>
    <row r="631">
      <c r="I631" s="43"/>
    </row>
    <row r="632">
      <c r="I632" s="43"/>
    </row>
    <row r="633">
      <c r="I633" s="43"/>
    </row>
    <row r="634">
      <c r="I634" s="43"/>
    </row>
    <row r="635">
      <c r="I635" s="43"/>
    </row>
    <row r="636">
      <c r="I636" s="43"/>
    </row>
    <row r="637">
      <c r="I637" s="43"/>
    </row>
    <row r="638">
      <c r="I638" s="43"/>
    </row>
    <row r="639">
      <c r="I639" s="43"/>
    </row>
    <row r="640">
      <c r="I640" s="43"/>
    </row>
    <row r="641">
      <c r="I641" s="43"/>
    </row>
    <row r="642">
      <c r="I642" s="43"/>
    </row>
    <row r="643">
      <c r="I643" s="43"/>
    </row>
    <row r="644">
      <c r="I644" s="43"/>
    </row>
    <row r="645">
      <c r="I645" s="43"/>
    </row>
    <row r="646">
      <c r="I646" s="43"/>
    </row>
    <row r="647">
      <c r="I647" s="43"/>
    </row>
    <row r="648">
      <c r="I648" s="43"/>
    </row>
    <row r="649">
      <c r="I649" s="43"/>
    </row>
    <row r="650">
      <c r="I650" s="43"/>
    </row>
    <row r="651">
      <c r="I651" s="43"/>
    </row>
    <row r="652">
      <c r="I652" s="43"/>
    </row>
    <row r="653">
      <c r="I653" s="43"/>
    </row>
    <row r="654">
      <c r="I654" s="43"/>
    </row>
    <row r="655">
      <c r="I655" s="43"/>
    </row>
    <row r="656">
      <c r="I656" s="43"/>
    </row>
    <row r="657">
      <c r="I657" s="43"/>
    </row>
    <row r="658">
      <c r="I658" s="43"/>
    </row>
    <row r="659">
      <c r="I659" s="43"/>
    </row>
    <row r="660">
      <c r="I660" s="43"/>
    </row>
    <row r="661">
      <c r="I661" s="43"/>
    </row>
    <row r="662">
      <c r="I662" s="43"/>
    </row>
    <row r="663">
      <c r="I663" s="43"/>
    </row>
    <row r="664">
      <c r="I664" s="43"/>
    </row>
    <row r="665">
      <c r="I665" s="43"/>
    </row>
    <row r="666">
      <c r="I666" s="43"/>
    </row>
    <row r="667">
      <c r="I667" s="43"/>
    </row>
    <row r="668">
      <c r="I668" s="43"/>
    </row>
    <row r="669">
      <c r="I669" s="43"/>
    </row>
    <row r="670">
      <c r="I670" s="43"/>
    </row>
    <row r="671">
      <c r="I671" s="43"/>
    </row>
    <row r="672">
      <c r="I672" s="43"/>
    </row>
    <row r="673">
      <c r="I673" s="43"/>
    </row>
    <row r="674">
      <c r="I674" s="43"/>
    </row>
    <row r="675">
      <c r="I675" s="43"/>
    </row>
    <row r="676">
      <c r="I676" s="43"/>
    </row>
    <row r="677">
      <c r="I677" s="43"/>
    </row>
    <row r="678">
      <c r="I678" s="43"/>
    </row>
    <row r="679">
      <c r="I679" s="43"/>
    </row>
    <row r="680">
      <c r="I680" s="43"/>
    </row>
    <row r="681">
      <c r="I681" s="43"/>
    </row>
    <row r="682">
      <c r="I682" s="43"/>
    </row>
    <row r="683">
      <c r="I683" s="43"/>
    </row>
    <row r="684">
      <c r="I684" s="43"/>
    </row>
    <row r="685">
      <c r="I685" s="43"/>
    </row>
    <row r="686">
      <c r="I686" s="43"/>
    </row>
    <row r="687">
      <c r="I687" s="43"/>
    </row>
    <row r="688">
      <c r="I688" s="43"/>
    </row>
    <row r="689">
      <c r="I689" s="43"/>
    </row>
    <row r="690">
      <c r="I690" s="43"/>
    </row>
    <row r="691">
      <c r="I691" s="43"/>
    </row>
    <row r="692">
      <c r="I692" s="43"/>
    </row>
    <row r="693">
      <c r="I693" s="43"/>
    </row>
    <row r="694">
      <c r="I694" s="43"/>
    </row>
    <row r="695">
      <c r="I695" s="43"/>
    </row>
    <row r="696">
      <c r="I696" s="43"/>
    </row>
    <row r="697">
      <c r="I697" s="43"/>
    </row>
    <row r="698">
      <c r="I698" s="43"/>
    </row>
    <row r="699">
      <c r="I699" s="43"/>
    </row>
    <row r="700">
      <c r="I700" s="43"/>
    </row>
    <row r="701">
      <c r="I701" s="43"/>
    </row>
    <row r="702">
      <c r="I702" s="43"/>
    </row>
    <row r="703">
      <c r="I703" s="43"/>
    </row>
    <row r="704">
      <c r="I704" s="43"/>
    </row>
    <row r="705">
      <c r="I705" s="43"/>
    </row>
    <row r="706">
      <c r="I706" s="43"/>
    </row>
    <row r="707">
      <c r="I707" s="43"/>
    </row>
    <row r="708">
      <c r="I708" s="43"/>
    </row>
    <row r="709">
      <c r="I709" s="43"/>
    </row>
    <row r="710">
      <c r="I710" s="43"/>
    </row>
    <row r="711">
      <c r="I711" s="43"/>
    </row>
    <row r="712">
      <c r="I712" s="43"/>
    </row>
    <row r="713">
      <c r="I713" s="43"/>
    </row>
    <row r="714">
      <c r="I714" s="43"/>
    </row>
    <row r="715">
      <c r="I715" s="43"/>
    </row>
    <row r="716">
      <c r="I716" s="43"/>
    </row>
    <row r="717">
      <c r="I717" s="43"/>
    </row>
    <row r="718">
      <c r="I718" s="43"/>
    </row>
    <row r="719">
      <c r="I719" s="43"/>
    </row>
    <row r="720">
      <c r="I720" s="43"/>
    </row>
    <row r="721">
      <c r="I721" s="43"/>
    </row>
    <row r="722">
      <c r="I722" s="43"/>
    </row>
    <row r="723">
      <c r="I723" s="43"/>
    </row>
    <row r="724">
      <c r="I724" s="43"/>
    </row>
    <row r="725">
      <c r="I725" s="43"/>
    </row>
    <row r="726">
      <c r="I726" s="43"/>
    </row>
    <row r="727">
      <c r="I727" s="43"/>
    </row>
    <row r="728">
      <c r="I728" s="43"/>
    </row>
    <row r="729">
      <c r="I729" s="43"/>
    </row>
    <row r="730">
      <c r="I730" s="43"/>
    </row>
    <row r="731">
      <c r="I731" s="43"/>
    </row>
    <row r="732">
      <c r="I732" s="43"/>
    </row>
    <row r="733">
      <c r="I733" s="43"/>
    </row>
    <row r="734">
      <c r="I734" s="43"/>
    </row>
    <row r="735">
      <c r="I735" s="43"/>
    </row>
    <row r="736">
      <c r="I736" s="43"/>
    </row>
    <row r="737">
      <c r="I737" s="43"/>
    </row>
    <row r="738">
      <c r="I738" s="43"/>
    </row>
    <row r="739">
      <c r="I739" s="43"/>
    </row>
    <row r="740">
      <c r="I740" s="43"/>
    </row>
    <row r="741">
      <c r="I741" s="43"/>
    </row>
    <row r="742">
      <c r="I742" s="43"/>
    </row>
    <row r="743">
      <c r="I743" s="43"/>
    </row>
    <row r="744">
      <c r="I744" s="43"/>
    </row>
    <row r="745">
      <c r="I745" s="43"/>
    </row>
    <row r="746">
      <c r="I746" s="43"/>
    </row>
    <row r="747">
      <c r="I747" s="43"/>
    </row>
    <row r="748">
      <c r="I748" s="43"/>
    </row>
    <row r="749">
      <c r="I749" s="43"/>
    </row>
    <row r="750">
      <c r="I750" s="43"/>
    </row>
    <row r="751">
      <c r="I751" s="43"/>
    </row>
    <row r="752">
      <c r="I752" s="43"/>
    </row>
    <row r="753">
      <c r="I753" s="43"/>
    </row>
    <row r="754">
      <c r="I754" s="43"/>
    </row>
    <row r="755">
      <c r="I755" s="43"/>
    </row>
    <row r="756">
      <c r="I756" s="43"/>
    </row>
    <row r="757">
      <c r="I757" s="43"/>
    </row>
    <row r="758">
      <c r="I758" s="43"/>
    </row>
    <row r="759">
      <c r="I759" s="43"/>
    </row>
    <row r="760">
      <c r="I760" s="43"/>
    </row>
    <row r="761">
      <c r="I761" s="43"/>
    </row>
    <row r="762">
      <c r="I762" s="43"/>
    </row>
    <row r="763">
      <c r="I763" s="43"/>
    </row>
    <row r="764">
      <c r="I764" s="43"/>
    </row>
    <row r="765">
      <c r="I765" s="43"/>
    </row>
    <row r="766">
      <c r="I766" s="43"/>
    </row>
    <row r="767">
      <c r="I767" s="43"/>
    </row>
    <row r="768">
      <c r="I768" s="43"/>
    </row>
    <row r="769">
      <c r="I769" s="43"/>
    </row>
    <row r="770">
      <c r="I770" s="43"/>
    </row>
    <row r="771">
      <c r="I771" s="43"/>
    </row>
    <row r="772">
      <c r="I772" s="43"/>
    </row>
    <row r="773">
      <c r="I773" s="43"/>
    </row>
    <row r="774">
      <c r="I774" s="43"/>
    </row>
    <row r="775">
      <c r="I775" s="43"/>
    </row>
    <row r="776">
      <c r="I776" s="43"/>
    </row>
    <row r="777">
      <c r="I777" s="43"/>
    </row>
    <row r="778">
      <c r="I778" s="43"/>
    </row>
    <row r="779">
      <c r="I779" s="43"/>
    </row>
    <row r="780">
      <c r="I780" s="43"/>
    </row>
    <row r="781">
      <c r="I781" s="43"/>
    </row>
    <row r="782">
      <c r="I782" s="43"/>
    </row>
    <row r="783">
      <c r="I783" s="43"/>
    </row>
    <row r="784">
      <c r="I784" s="43"/>
    </row>
    <row r="785">
      <c r="I785" s="43"/>
    </row>
    <row r="786">
      <c r="I786" s="43"/>
    </row>
    <row r="787">
      <c r="I787" s="43"/>
    </row>
    <row r="788">
      <c r="I788" s="43"/>
    </row>
    <row r="789">
      <c r="I789" s="43"/>
    </row>
    <row r="790">
      <c r="I790" s="43"/>
    </row>
    <row r="791">
      <c r="I791" s="43"/>
    </row>
    <row r="792">
      <c r="I792" s="43"/>
    </row>
    <row r="793">
      <c r="I793" s="43"/>
    </row>
    <row r="794">
      <c r="I794" s="43"/>
    </row>
    <row r="795">
      <c r="I795" s="43"/>
    </row>
    <row r="796">
      <c r="I796" s="43"/>
    </row>
    <row r="797">
      <c r="I797" s="43"/>
    </row>
    <row r="798">
      <c r="I798" s="43"/>
    </row>
    <row r="799">
      <c r="I799" s="43"/>
    </row>
    <row r="800">
      <c r="I800" s="43"/>
    </row>
    <row r="801">
      <c r="I801" s="43"/>
    </row>
    <row r="802">
      <c r="I802" s="43"/>
    </row>
    <row r="803">
      <c r="I803" s="43"/>
    </row>
    <row r="804">
      <c r="I804" s="43"/>
    </row>
    <row r="805">
      <c r="I805" s="43"/>
    </row>
    <row r="806">
      <c r="I806" s="43"/>
    </row>
    <row r="807">
      <c r="I807" s="43"/>
    </row>
    <row r="808">
      <c r="I808" s="43"/>
    </row>
    <row r="809">
      <c r="I809" s="43"/>
    </row>
    <row r="810">
      <c r="I810" s="43"/>
    </row>
    <row r="811">
      <c r="I811" s="43"/>
    </row>
    <row r="812">
      <c r="I812" s="43"/>
    </row>
    <row r="813">
      <c r="I813" s="43"/>
    </row>
    <row r="814">
      <c r="I814" s="43"/>
    </row>
    <row r="815">
      <c r="I815" s="43"/>
    </row>
    <row r="816">
      <c r="I816" s="43"/>
    </row>
    <row r="817">
      <c r="I817" s="43"/>
    </row>
    <row r="818">
      <c r="I818" s="43"/>
    </row>
    <row r="819">
      <c r="I819" s="43"/>
    </row>
    <row r="820">
      <c r="I820" s="43"/>
    </row>
    <row r="821">
      <c r="I821" s="43"/>
    </row>
    <row r="822">
      <c r="I822" s="43"/>
    </row>
    <row r="823">
      <c r="I823" s="43"/>
    </row>
    <row r="824">
      <c r="I824" s="43"/>
    </row>
    <row r="825">
      <c r="I825" s="43"/>
    </row>
    <row r="826">
      <c r="I826" s="43"/>
    </row>
    <row r="827">
      <c r="I827" s="43"/>
    </row>
    <row r="828">
      <c r="I828" s="43"/>
    </row>
    <row r="829">
      <c r="I829" s="43"/>
    </row>
    <row r="830">
      <c r="I830" s="43"/>
    </row>
    <row r="831">
      <c r="I831" s="43"/>
    </row>
    <row r="832">
      <c r="I832" s="43"/>
    </row>
    <row r="833">
      <c r="I833" s="43"/>
    </row>
    <row r="834">
      <c r="I834" s="43"/>
    </row>
    <row r="835">
      <c r="I835" s="43"/>
    </row>
    <row r="836">
      <c r="I836" s="43"/>
    </row>
    <row r="837">
      <c r="I837" s="43"/>
    </row>
    <row r="838">
      <c r="I838" s="43"/>
    </row>
    <row r="839">
      <c r="I839" s="43"/>
    </row>
    <row r="840">
      <c r="I840" s="43"/>
    </row>
    <row r="841">
      <c r="I841" s="43"/>
    </row>
    <row r="842">
      <c r="I842" s="43"/>
    </row>
    <row r="843">
      <c r="I843" s="43"/>
    </row>
    <row r="844">
      <c r="I844" s="43"/>
    </row>
    <row r="845">
      <c r="I845" s="43"/>
    </row>
    <row r="846">
      <c r="I846" s="43"/>
    </row>
    <row r="847">
      <c r="I847" s="43"/>
    </row>
    <row r="848">
      <c r="I848" s="43"/>
    </row>
    <row r="849">
      <c r="I849" s="43"/>
    </row>
    <row r="850">
      <c r="I850" s="43"/>
    </row>
    <row r="851">
      <c r="I851" s="43"/>
    </row>
    <row r="852">
      <c r="I852" s="43"/>
    </row>
    <row r="853">
      <c r="I853" s="43"/>
    </row>
    <row r="854">
      <c r="I854" s="43"/>
    </row>
    <row r="855">
      <c r="I855" s="43"/>
    </row>
    <row r="856">
      <c r="I856" s="43"/>
    </row>
    <row r="857">
      <c r="I857" s="43"/>
    </row>
    <row r="858">
      <c r="I858" s="43"/>
    </row>
    <row r="859">
      <c r="I859" s="43"/>
    </row>
    <row r="860">
      <c r="I860" s="43"/>
    </row>
    <row r="861">
      <c r="I861" s="43"/>
    </row>
    <row r="862">
      <c r="I862" s="43"/>
    </row>
    <row r="863">
      <c r="I863" s="43"/>
    </row>
    <row r="864">
      <c r="I864" s="43"/>
    </row>
    <row r="865">
      <c r="I865" s="43"/>
    </row>
    <row r="866">
      <c r="I866" s="43"/>
    </row>
    <row r="867">
      <c r="I867" s="43"/>
    </row>
    <row r="868">
      <c r="I868" s="43"/>
    </row>
    <row r="869">
      <c r="I869" s="43"/>
    </row>
    <row r="870">
      <c r="I870" s="43"/>
    </row>
    <row r="871">
      <c r="I871" s="43"/>
    </row>
    <row r="872">
      <c r="I872" s="43"/>
    </row>
    <row r="873">
      <c r="I873" s="43"/>
    </row>
    <row r="874">
      <c r="I874" s="43"/>
    </row>
    <row r="875">
      <c r="I875" s="43"/>
    </row>
    <row r="876">
      <c r="I876" s="43"/>
    </row>
    <row r="877">
      <c r="I877" s="43"/>
    </row>
    <row r="878">
      <c r="I878" s="43"/>
    </row>
    <row r="879">
      <c r="I879" s="43"/>
    </row>
    <row r="880">
      <c r="I880" s="43"/>
    </row>
    <row r="881">
      <c r="I881" s="43"/>
    </row>
    <row r="882">
      <c r="I882" s="43"/>
    </row>
    <row r="883">
      <c r="I883" s="43"/>
    </row>
    <row r="884">
      <c r="I884" s="43"/>
    </row>
    <row r="885">
      <c r="I885" s="43"/>
    </row>
    <row r="886">
      <c r="I886" s="43"/>
    </row>
    <row r="887">
      <c r="I887" s="43"/>
    </row>
    <row r="888">
      <c r="I888" s="43"/>
    </row>
    <row r="889">
      <c r="I889" s="43"/>
    </row>
    <row r="890">
      <c r="I890" s="43"/>
    </row>
    <row r="891">
      <c r="I891" s="43"/>
    </row>
    <row r="892">
      <c r="I892" s="43"/>
    </row>
    <row r="893">
      <c r="I893" s="43"/>
    </row>
    <row r="894">
      <c r="I894" s="43"/>
    </row>
    <row r="895">
      <c r="I895" s="43"/>
    </row>
    <row r="896">
      <c r="I896" s="43"/>
    </row>
    <row r="897">
      <c r="I897" s="43"/>
    </row>
    <row r="898">
      <c r="I898" s="43"/>
    </row>
    <row r="899">
      <c r="I899" s="43"/>
    </row>
    <row r="900">
      <c r="I900" s="43"/>
    </row>
    <row r="901">
      <c r="I901" s="43"/>
    </row>
    <row r="902">
      <c r="I902" s="43"/>
    </row>
    <row r="903">
      <c r="I903" s="43"/>
    </row>
    <row r="904">
      <c r="I904" s="43"/>
    </row>
    <row r="905">
      <c r="I905" s="43"/>
    </row>
    <row r="906">
      <c r="I906" s="43"/>
    </row>
    <row r="907">
      <c r="I907" s="43"/>
    </row>
    <row r="908">
      <c r="I908" s="43"/>
    </row>
    <row r="909">
      <c r="I909" s="43"/>
    </row>
    <row r="910">
      <c r="I910" s="43"/>
    </row>
    <row r="911">
      <c r="I911" s="43"/>
    </row>
    <row r="912">
      <c r="I912" s="43"/>
    </row>
    <row r="913">
      <c r="I913" s="43"/>
    </row>
    <row r="914">
      <c r="I914" s="43"/>
    </row>
    <row r="915">
      <c r="I915" s="43"/>
    </row>
    <row r="916">
      <c r="I916" s="43"/>
    </row>
    <row r="917">
      <c r="I917" s="43"/>
    </row>
    <row r="918">
      <c r="I918" s="43"/>
    </row>
    <row r="919">
      <c r="I919" s="43"/>
    </row>
    <row r="920">
      <c r="I920" s="43"/>
    </row>
    <row r="921">
      <c r="I921" s="43"/>
    </row>
    <row r="922">
      <c r="I922" s="43"/>
    </row>
    <row r="923">
      <c r="I923" s="43"/>
    </row>
    <row r="924">
      <c r="I924" s="43"/>
    </row>
    <row r="925">
      <c r="I925" s="43"/>
    </row>
    <row r="926">
      <c r="I926" s="43"/>
    </row>
    <row r="927">
      <c r="I927" s="43"/>
    </row>
    <row r="928">
      <c r="I928" s="43"/>
    </row>
    <row r="929">
      <c r="I929" s="43"/>
    </row>
    <row r="930">
      <c r="I930" s="43"/>
    </row>
    <row r="931">
      <c r="I931" s="43"/>
    </row>
    <row r="932">
      <c r="I932" s="43"/>
    </row>
    <row r="933">
      <c r="I933" s="43"/>
    </row>
    <row r="934">
      <c r="I934" s="43"/>
    </row>
    <row r="935">
      <c r="I935" s="43"/>
    </row>
    <row r="936">
      <c r="I936" s="43"/>
    </row>
    <row r="937">
      <c r="I937" s="43"/>
    </row>
    <row r="938">
      <c r="I938" s="43"/>
    </row>
    <row r="939">
      <c r="I939" s="43"/>
    </row>
    <row r="940">
      <c r="I940" s="43"/>
    </row>
    <row r="941">
      <c r="I941" s="43"/>
    </row>
    <row r="942">
      <c r="I942" s="43"/>
    </row>
    <row r="943">
      <c r="I943" s="43"/>
    </row>
    <row r="944">
      <c r="I944" s="43"/>
    </row>
    <row r="945">
      <c r="I945" s="43"/>
    </row>
    <row r="946">
      <c r="I946" s="43"/>
    </row>
    <row r="947">
      <c r="I947" s="43"/>
    </row>
    <row r="948">
      <c r="I948" s="43"/>
    </row>
    <row r="949">
      <c r="I949" s="43"/>
    </row>
    <row r="950">
      <c r="I950" s="43"/>
    </row>
    <row r="951">
      <c r="I951" s="43"/>
    </row>
    <row r="952">
      <c r="I952" s="43"/>
    </row>
    <row r="953">
      <c r="I953" s="43"/>
    </row>
    <row r="954">
      <c r="I954" s="43"/>
    </row>
    <row r="955">
      <c r="I955" s="43"/>
    </row>
    <row r="956">
      <c r="I956" s="43"/>
    </row>
    <row r="957">
      <c r="I957" s="43"/>
    </row>
    <row r="958">
      <c r="I958" s="43"/>
    </row>
    <row r="959">
      <c r="I959" s="43"/>
    </row>
    <row r="960">
      <c r="I960" s="43"/>
    </row>
    <row r="961">
      <c r="I961" s="43"/>
    </row>
    <row r="962">
      <c r="I962" s="43"/>
    </row>
    <row r="963">
      <c r="I963" s="43"/>
    </row>
    <row r="964">
      <c r="I964" s="43"/>
    </row>
    <row r="965">
      <c r="I965" s="43"/>
    </row>
    <row r="966">
      <c r="I966" s="43"/>
    </row>
    <row r="967">
      <c r="I967" s="43"/>
    </row>
    <row r="968">
      <c r="I968" s="43"/>
    </row>
    <row r="969">
      <c r="I969" s="43"/>
    </row>
    <row r="970">
      <c r="I970" s="43"/>
    </row>
    <row r="971">
      <c r="I971" s="43"/>
    </row>
    <row r="972">
      <c r="I972" s="43"/>
    </row>
    <row r="973">
      <c r="I973" s="43"/>
    </row>
    <row r="974">
      <c r="I974" s="43"/>
    </row>
    <row r="975">
      <c r="I975" s="43"/>
    </row>
    <row r="976">
      <c r="I976" s="43"/>
    </row>
    <row r="977">
      <c r="I977" s="43"/>
    </row>
    <row r="978">
      <c r="I978" s="43"/>
    </row>
    <row r="979">
      <c r="I979" s="43"/>
    </row>
    <row r="980">
      <c r="I980" s="43"/>
    </row>
    <row r="981">
      <c r="I981" s="43"/>
    </row>
    <row r="982">
      <c r="I982" s="43"/>
    </row>
    <row r="983">
      <c r="I983" s="43"/>
    </row>
    <row r="984">
      <c r="I984" s="43"/>
    </row>
    <row r="985">
      <c r="I985" s="43"/>
    </row>
    <row r="986">
      <c r="I986" s="43"/>
    </row>
    <row r="987">
      <c r="I987" s="43"/>
    </row>
    <row r="988">
      <c r="I988" s="43"/>
    </row>
    <row r="989">
      <c r="I989" s="43"/>
    </row>
    <row r="990">
      <c r="I990" s="43"/>
    </row>
    <row r="991">
      <c r="I991" s="43"/>
    </row>
    <row r="992">
      <c r="I992" s="43"/>
    </row>
    <row r="993">
      <c r="I993" s="43"/>
    </row>
    <row r="994">
      <c r="I994" s="43"/>
    </row>
    <row r="995">
      <c r="I995" s="43"/>
    </row>
    <row r="996">
      <c r="I996" s="43"/>
    </row>
    <row r="997">
      <c r="I997" s="43"/>
    </row>
    <row r="998">
      <c r="I998" s="43"/>
    </row>
    <row r="999">
      <c r="I999" s="43"/>
    </row>
    <row r="1000">
      <c r="I1000" s="43"/>
    </row>
  </sheetData>
  <mergeCells count="12">
    <mergeCell ref="A20:A24"/>
    <mergeCell ref="A26:A30"/>
    <mergeCell ref="B27:B30"/>
    <mergeCell ref="A32:A36"/>
    <mergeCell ref="B33:B36"/>
    <mergeCell ref="A2:A6"/>
    <mergeCell ref="B3:B6"/>
    <mergeCell ref="A8:A12"/>
    <mergeCell ref="B9:B12"/>
    <mergeCell ref="A14:A18"/>
    <mergeCell ref="B15:B18"/>
    <mergeCell ref="B21:B24"/>
  </mergeCells>
  <conditionalFormatting sqref="D2:G36">
    <cfRule type="expression" dxfId="0" priority="1">
      <formula>AND(D2&lt;&gt;"",COUNTIF($D2:$G2,D2)&gt;1)</formula>
    </cfRule>
  </conditionalFormatting>
  <dataValidations>
    <dataValidation type="list" allowBlank="1" showErrorMessage="1" sqref="D2:G6 D8:G12 D14:G18 D20:G24 D26:G30 D32:G36">
      <formula1>Devs!$B$2:$B$100</formula1>
    </dataValidation>
    <dataValidation type="list" allowBlank="1" showErrorMessage="1" sqref="H2:H6 H8:H12 H14:H18 H20:H24 H26:H30 H32:H36">
      <formula1>"0,1,2,3,4,5"</formula1>
    </dataValidation>
    <dataValidation type="list" allowBlank="1" showErrorMessage="1" sqref="A2 A8 A14 A20 A26 A32">
      <formula1>"P_,P1,P2,P3,P4,P5,P6"</formula1>
    </dataValidation>
  </dataValidations>
  <drawing r:id="rId2"/>
  <legacyDrawing r:id="rId3"/>
</worksheet>
</file>